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  <sheet name="runtime_summary" sheetId="2" state="visible" r:id="rId2"/>
    <sheet name="functions" sheetId="3" state="visible" r:id="rId3"/>
    <sheet name="meta" sheetId="4" state="visible" r:id="rId4"/>
    <sheet name="runtime_plan" sheetId="5" state="visible" r:id="rId5"/>
    <sheet name="runtime_trace" sheetId="6" state="visible" r:id="rId6"/>
    <sheet name="runtime_step" sheetId="7" state="visible" r:id="rId7"/>
    <sheet name="runtime_run" sheetId="8" state="visible" r:id="rId8"/>
    <sheet name="runtime_modules" sheetId="9" state="visible" r:id="rId9"/>
    <sheet name="runtime_errors" sheetId="10" state="visible" r:id="rId10"/>
    <sheet name="runtime_io" sheetId="11" state="visible" r:id="rId11"/>
    <sheet name="runtime_async" sheetId="12" state="visible" r:id="rId12"/>
    <sheet name="runtime_values" sheetId="13" state="visible" r:id="rId13"/>
    <sheet name="runtime_frames" sheetId="14" state="visible" r:id="rId14"/>
  </sheets>
  <definedNames>
    <definedName name="runtime_parser">meta!$B$7</definedName>
    <definedName name="runtime_dispatch">meta!$B$8</definedName>
    <definedName name="runtime_call">meta!$B$4</definedName>
    <definedName name="runtime_eval">meta!$B$9</definedName>
    <definedName name="runtime_eval_v2">meta!$B$9</definedName>
    <definedName name="runtime_split_args">meta!$B$10</definedName>
    <definedName name="runtime_typeof">meta!$B$11</definedName>
    <definedName name="runtime_wrap">meta!$B$12</definedName>
    <definedName name="runtime_error">meta!$B$13</definedName>
    <definedName name="runtime_unwrap">meta!$B$14</definedName>
    <definedName name="runtime_value_type">meta!$B$15</definedName>
    <definedName name="runtime_error_code">meta!$B$16</definedName>
    <definedName name="runtime_is_error">meta!$B$17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2" t="inlineStr">
        <is>
          <t>case</t>
        </is>
      </c>
      <c r="B1" s="2" t="inlineStr">
        <is>
          <t>expr</t>
        </is>
      </c>
      <c r="C1" s="2" t="inlineStr">
        <is>
          <t>actual</t>
        </is>
      </c>
      <c r="D1" s="2" t="inlineStr">
        <is>
          <t>expected</t>
        </is>
      </c>
      <c r="E1" s="2" t="inlineStr">
        <is>
          <t>pass</t>
        </is>
      </c>
    </row>
    <row r="2">
      <c r="A2" t="inlineStr">
        <is>
          <t>Path basename</t>
        </is>
      </c>
      <c r="B2" t="inlineStr">
        <is>
          <t>path.basename("a/b/c.txt")</t>
        </is>
      </c>
      <c r="C2">
        <f>meta!B14(meta!B9(B2))</f>
        <v/>
      </c>
      <c r="D2" t="inlineStr">
        <is>
          <t>c.txt</t>
        </is>
      </c>
      <c r="E2">
        <f>IFERROR(C2=D2,FALSE)</f>
        <v/>
      </c>
    </row>
    <row r="3">
      <c r="A3" t="inlineStr">
        <is>
          <t>Join</t>
        </is>
      </c>
      <c r="B3" t="inlineStr">
        <is>
          <t>path.join("a","b","c")</t>
        </is>
      </c>
      <c r="C3">
        <f>meta!B14(meta!B9(B3))</f>
        <v/>
      </c>
      <c r="D3" t="inlineStr">
        <is>
          <t>a/b/c</t>
        </is>
      </c>
      <c r="E3">
        <f>IFERROR(C3=D3,FALSE)</f>
        <v/>
      </c>
    </row>
    <row r="4">
      <c r="A4" t="inlineStr">
        <is>
          <t>Math</t>
        </is>
      </c>
      <c r="B4" t="inlineStr">
        <is>
          <t>math.add3(1,2,3)</t>
        </is>
      </c>
      <c r="C4">
        <f>meta!B14(meta!B9(B4))</f>
        <v/>
      </c>
      <c r="D4" t="n">
        <v>6</v>
      </c>
      <c r="E4">
        <f>IFERROR(C4=D4,FALSE)</f>
        <v/>
      </c>
    </row>
    <row r="5">
      <c r="A5" t="inlineStr">
        <is>
          <t>Bool</t>
        </is>
      </c>
      <c r="B5" t="inlineStr">
        <is>
          <t>path.isAbsolute("/tmp")</t>
        </is>
      </c>
      <c r="C5">
        <f>meta!B14(meta!B9(B5))</f>
        <v/>
      </c>
      <c r="D5" t="b">
        <v>1</v>
      </c>
      <c r="E5">
        <f>IFERROR(C5=D5,FALSE)</f>
        <v/>
      </c>
    </row>
    <row r="6">
      <c r="A6" t="inlineStr">
        <is>
          <t>Math mul3</t>
        </is>
      </c>
      <c r="B6" t="inlineStr">
        <is>
          <t>math.mul3(2,3,4)</t>
        </is>
      </c>
      <c r="C6">
        <f>meta!B14(meta!B9(B6))</f>
        <v/>
      </c>
      <c r="D6" t="n">
        <v>24</v>
      </c>
      <c r="E6">
        <f>IFERROR(C6=D6,FALSE)</f>
        <v/>
      </c>
    </row>
    <row r="7">
      <c r="A7" t="inlineStr">
        <is>
          <t>Nested math</t>
        </is>
      </c>
      <c r="B7" t="inlineStr">
        <is>
          <t>math.add3(1, math.mul3(2,3,4), 5)</t>
        </is>
      </c>
      <c r="C7">
        <f>meta!B14(meta!B9(B7))</f>
        <v/>
      </c>
      <c r="D7" t="n">
        <v>30</v>
      </c>
      <c r="E7">
        <f>IFERROR(C7=D7,FALSE)</f>
        <v/>
      </c>
    </row>
    <row r="8">
      <c r="A8" t="inlineStr">
        <is>
          <t>Arity error</t>
        </is>
      </c>
      <c r="B8" t="inlineStr">
        <is>
          <t>path.basename()</t>
        </is>
      </c>
      <c r="C8">
        <f>meta!B14(meta!B9(B8))</f>
        <v/>
      </c>
      <c r="D8" t="inlineStr">
        <is>
          <t>#ERR: invalid arity</t>
        </is>
      </c>
      <c r="E8">
        <f>IFERROR(C8=D8,FALSE)</f>
        <v/>
      </c>
    </row>
    <row r="9">
      <c r="A9" t="inlineStr">
        <is>
          <t>Type error</t>
        </is>
      </c>
      <c r="B9" t="inlineStr">
        <is>
          <t>math.add3("a",2,3)</t>
        </is>
      </c>
      <c r="C9">
        <f>meta!B14(meta!B9(B9))</f>
        <v/>
      </c>
      <c r="D9" t="inlineStr">
        <is>
          <t>#ERR: invalid arg type</t>
        </is>
      </c>
      <c r="E9">
        <f>IFERROR(C9=D9,FALSE)</f>
        <v/>
      </c>
    </row>
    <row r="10">
      <c r="A10" t="inlineStr">
        <is>
          <t>Zero-arg function</t>
        </is>
      </c>
      <c r="B10" t="inlineStr">
        <is>
          <t>path.delimiter()</t>
        </is>
      </c>
      <c r="C10">
        <f>meta!B14(meta!B9(B10))</f>
        <v/>
      </c>
      <c r="D10" t="inlineStr">
        <is>
          <t>/</t>
        </is>
      </c>
      <c r="E10">
        <f>IFERROR(C10=D10,FALSE)</f>
        <v/>
      </c>
    </row>
    <row r="11">
      <c r="A11" t="inlineStr">
        <is>
          <t>Quoted comma</t>
        </is>
      </c>
      <c r="B11" t="inlineStr">
        <is>
          <t>path.join("a,b","c")</t>
        </is>
      </c>
      <c r="C11">
        <f>meta!B14(meta!B9(B11))</f>
        <v/>
      </c>
      <c r="D11" t="inlineStr">
        <is>
          <t>a,b/c</t>
        </is>
      </c>
      <c r="E11">
        <f>IFERROR(C11=D11,FALSE)</f>
        <v/>
      </c>
    </row>
    <row r="12">
      <c r="A12" t="inlineStr">
        <is>
          <t>Bad parse</t>
        </is>
      </c>
      <c r="B12" t="inlineStr">
        <is>
          <t>math.add3(1,2</t>
        </is>
      </c>
      <c r="C12">
        <f>meta!B14(meta!B9(B12))</f>
        <v/>
      </c>
      <c r="D12" t="inlineStr">
        <is>
          <t>#ERR: bad parse</t>
        </is>
      </c>
      <c r="E12">
        <f>IFERROR(C12=D12,FALSE)</f>
        <v/>
      </c>
    </row>
    <row r="13">
      <c r="A13" t="inlineStr">
        <is>
          <t>Bad quote</t>
        </is>
      </c>
      <c r="B13" t="inlineStr">
        <is>
          <t>path.basename("a/b</t>
        </is>
      </c>
      <c r="C13">
        <f>meta!B14(meta!B9(B13))</f>
        <v/>
      </c>
      <c r="D13" t="inlineStr">
        <is>
          <t>#ERR: bad parse</t>
        </is>
      </c>
      <c r="E13">
        <f>IFERROR(C13=D13,FALSE)</f>
        <v/>
      </c>
    </row>
    <row r="14">
      <c r="A14" t="inlineStr">
        <is>
          <t>Unknown function</t>
        </is>
      </c>
      <c r="B14" t="inlineStr">
        <is>
          <t>foo.bar(1,2,3)</t>
        </is>
      </c>
      <c r="C14">
        <f>meta!B14(meta!B9(B14))</f>
        <v/>
      </c>
      <c r="D14" t="inlineStr">
        <is>
          <t>#ERR: unknown function</t>
        </is>
      </c>
      <c r="E14">
        <f>IFERROR(C14=D14,FALSE)</f>
        <v/>
      </c>
    </row>
    <row r="15">
      <c r="A15" t="inlineStr">
        <is>
          <t>Max depth guard</t>
        </is>
      </c>
      <c r="B15" t="inlineStr">
        <is>
          <t>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math.add3(1,2,3))))))))))))))))))))))))))))))))))))))))))))))))))))))))))))))))))</t>
        </is>
      </c>
      <c r="C15">
        <f>meta!B14(meta!B9(B15))</f>
        <v/>
      </c>
      <c r="D15" t="inlineStr">
        <is>
          <t>#ERR: max depth</t>
        </is>
      </c>
      <c r="E15">
        <f>IFERROR(C15=D15,FALSE)</f>
        <v/>
      </c>
    </row>
    <row r="16">
      <c r="A16" t="inlineStr">
        <is>
          <t>Escaped comma</t>
        </is>
      </c>
      <c r="B16" t="inlineStr">
        <is>
          <t>path.join("a\,b","c")</t>
        </is>
      </c>
      <c r="C16">
        <f>meta!B14(meta!B9(B16))</f>
        <v/>
      </c>
      <c r="D16" t="inlineStr">
        <is>
          <t>a\,b/c</t>
        </is>
      </c>
      <c r="E16">
        <f>IFERROR(C16=D16,FALSE)</f>
        <v/>
      </c>
    </row>
    <row r="17">
      <c r="A17" t="inlineStr">
        <is>
          <t>Escaped quote</t>
        </is>
      </c>
      <c r="B17" t="inlineStr">
        <is>
          <t>path.basename("a/\"b.txt")</t>
        </is>
      </c>
      <c r="C17">
        <f>meta!B14(meta!B9(B17))</f>
        <v/>
      </c>
      <c r="D17" t="inlineStr">
        <is>
          <t>"b.txt</t>
        </is>
      </c>
      <c r="E17">
        <f>IFERROR(C17=D17,FALSE)</f>
        <v/>
      </c>
    </row>
    <row r="18">
      <c r="A18" t="inlineStr">
        <is>
          <t>Promise resolve</t>
        </is>
      </c>
      <c r="B18" t="inlineStr">
        <is>
          <t>promise.state(promise.resolve("ok"))</t>
        </is>
      </c>
      <c r="C18">
        <f>meta!B14(meta!B9(B18))</f>
        <v/>
      </c>
      <c r="D18" t="inlineStr">
        <is>
          <t>RESOLVED</t>
        </is>
      </c>
      <c r="E18">
        <f>IFERROR(C18=D18,FALSE)</f>
        <v/>
      </c>
    </row>
    <row r="19">
      <c r="A19" t="inlineStr">
        <is>
          <t>Promise reject</t>
        </is>
      </c>
      <c r="B19" t="inlineStr">
        <is>
          <t>promise.reject("fail")</t>
        </is>
      </c>
      <c r="C19">
        <f>meta!B14(meta!B9(B19))</f>
        <v/>
      </c>
      <c r="D19" t="inlineStr">
        <is>
          <t>#ERR: async rejected</t>
        </is>
      </c>
      <c r="E19">
        <f>IFERROR(C19=D19,FALSE)</f>
        <v/>
      </c>
    </row>
    <row r="20">
      <c r="A20" t="inlineStr">
        <is>
          <t>FS readFile</t>
        </is>
      </c>
      <c r="B20" t="inlineStr">
        <is>
          <t>fs.readFile("/workspace/README.md")</t>
        </is>
      </c>
      <c r="C20">
        <f>meta!B14(meta!B9(B20))</f>
        <v/>
      </c>
      <c r="D20" t="inlineStr">
        <is>
          <t>Bun workbook runtime fixture</t>
        </is>
      </c>
      <c r="E20">
        <f>IFERROR(C20=D20,FALSE)</f>
        <v/>
      </c>
    </row>
    <row r="21">
      <c r="A21" t="inlineStr">
        <is>
          <t>FS missing</t>
        </is>
      </c>
      <c r="B21" t="inlineStr">
        <is>
          <t>fs.readFile("/missing.txt")</t>
        </is>
      </c>
      <c r="C21">
        <f>meta!B14(meta!B9(B21))</f>
        <v/>
      </c>
      <c r="D21" t="inlineStr">
        <is>
          <t>#ERR: io not found</t>
        </is>
      </c>
      <c r="E21">
        <f>IFERROR(C21=D21,FALSE)</f>
        <v/>
      </c>
    </row>
    <row r="22">
      <c r="A22" t="inlineStr">
        <is>
          <t>Process cwd</t>
        </is>
      </c>
      <c r="B22" t="inlineStr">
        <is>
          <t>process.cwd()</t>
        </is>
      </c>
      <c r="C22">
        <f>meta!B14(meta!B9(B22))</f>
        <v/>
      </c>
      <c r="D22" t="inlineStr">
        <is>
          <t>/Users/a.mametyev/PycharmProjects/bun</t>
        </is>
      </c>
      <c r="E22">
        <f>IFERROR(C22=D22,FALSE)</f>
        <v/>
      </c>
    </row>
    <row r="23">
      <c r="A23" t="inlineStr">
        <is>
          <t>Network fetch</t>
        </is>
      </c>
      <c r="B23" t="inlineStr">
        <is>
          <t>network.fetch("https://example.test/hello")</t>
        </is>
      </c>
      <c r="C23">
        <f>meta!B14(meta!B9(B23))</f>
        <v/>
      </c>
      <c r="D23" t="inlineStr">
        <is>
          <t>{"status":200,"body":"hello"}</t>
        </is>
      </c>
      <c r="E23">
        <f>IFERROR(C23=D23,FALSE)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6" customWidth="1" min="3" max="3"/>
  </cols>
  <sheetData>
    <row r="1">
      <c r="A1" s="2" t="inlineStr">
        <is>
          <t>gate</t>
        </is>
      </c>
      <c r="B1" s="2" t="inlineStr">
        <is>
          <t>evidence</t>
        </is>
      </c>
      <c r="C1" s="2" t="inlineStr">
        <is>
          <t>status</t>
        </is>
      </c>
    </row>
    <row r="2">
      <c r="A2" t="inlineStr">
        <is>
          <t>Plan rows all DONE</t>
        </is>
      </c>
      <c r="B2" t="inlineStr">
        <is>
          <t>runtime_plan!C2:C10</t>
        </is>
      </c>
      <c r="C2">
        <f>IF(COUNTIF(runtime_plan!C2:C10,"&lt;&gt;DONE")=0,"PASS","FAIL")</f>
        <v/>
      </c>
    </row>
    <row r="3">
      <c r="A3" t="inlineStr">
        <is>
          <t>E2E tests all pass</t>
        </is>
      </c>
      <c r="B3" t="inlineStr">
        <is>
          <t>tests!E2:E23</t>
        </is>
      </c>
      <c r="C3">
        <f>IF(COUNTIF(tests!E2:E23,FALSE)=0,"PASS","FAIL")</f>
        <v/>
      </c>
    </row>
    <row r="4">
      <c r="A4" t="inlineStr">
        <is>
          <t>Typed values all pass</t>
        </is>
      </c>
      <c r="B4" t="inlineStr">
        <is>
          <t>runtime_values!I2:I23</t>
        </is>
      </c>
      <c r="C4">
        <f>IF(COUNTIF(runtime_values!I2:I23,FALSE)=0,"PASS","FAIL")</f>
        <v/>
      </c>
    </row>
    <row r="5">
      <c r="A5" t="inlineStr">
        <is>
          <t>Runtime trace all pass</t>
        </is>
      </c>
      <c r="B5" t="inlineStr">
        <is>
          <t>runtime_trace!H2:H23</t>
        </is>
      </c>
      <c r="C5">
        <f>IF(COUNTIF(runtime_trace!H2:H23,FALSE)=0,"PASS","FAIL")</f>
        <v/>
      </c>
    </row>
    <row r="6">
      <c r="A6" t="inlineStr">
        <is>
          <t>Frame ledger has no frame budget violation</t>
        </is>
      </c>
      <c r="B6" t="inlineStr">
        <is>
          <t>runtime_frames!M2:M23</t>
        </is>
      </c>
      <c r="C6">
        <f>IF(COUNTIF(runtime_frames!M2:M23,"&lt;0")=0,"PASS","FAIL")</f>
        <v/>
      </c>
    </row>
    <row r="7">
      <c r="A7" t="inlineStr">
        <is>
          <t>Module metadata present</t>
        </is>
      </c>
      <c r="B7" t="inlineStr">
        <is>
          <t>runtime_modules!A2:A10</t>
        </is>
      </c>
      <c r="C7">
        <f>IF(COUNTA(runtime_modules!A2:A10)&gt;=9,"PASS","FAIL")</f>
        <v/>
      </c>
    </row>
    <row r="8">
      <c r="A8" t="inlineStr">
        <is>
          <t>Error model present</t>
        </is>
      </c>
      <c r="B8" t="inlineStr">
        <is>
          <t>runtime_errors!A2:A8</t>
        </is>
      </c>
      <c r="C8">
        <f>IF(COUNTA(runtime_errors!A2:A8)&gt;=7,"PASS","FAIL")</f>
        <v/>
      </c>
    </row>
    <row r="9">
      <c r="A9" t="inlineStr">
        <is>
          <t>Async model present</t>
        </is>
      </c>
      <c r="B9" t="inlineStr">
        <is>
          <t>runtime_async!A2:A3</t>
        </is>
      </c>
      <c r="C9">
        <f>IF(COUNTA(runtime_async!A2:A3)&gt;=2,"PASS","FAIL")</f>
        <v/>
      </c>
    </row>
    <row r="10">
      <c r="A10" t="inlineStr">
        <is>
          <t>IO model present</t>
        </is>
      </c>
      <c r="B10" t="inlineStr">
        <is>
          <t>runtime_io!A2:A4</t>
        </is>
      </c>
      <c r="C10">
        <f>IF(COUNTA(runtime_io!A2:A4)&gt;=3,"PASS","FAIL")</f>
        <v/>
      </c>
    </row>
    <row r="11">
      <c r="A11" t="inlineStr">
        <is>
          <t>Overall</t>
        </is>
      </c>
      <c r="B11">
        <f>COUNTIF(C2:C10,"FAIL")</f>
        <v/>
      </c>
      <c r="C11">
        <f>IF(B11=0,"PASS","FAIL")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function</t>
        </is>
      </c>
      <c r="C1" t="inlineStr">
        <is>
          <t>implemented</t>
        </is>
      </c>
      <c r="D1" t="inlineStr">
        <is>
          <t>state</t>
        </is>
      </c>
      <c r="E1" t="inlineStr">
        <is>
          <t>min_arity</t>
        </is>
      </c>
      <c r="F1" t="inlineStr">
        <is>
          <t>max_arity</t>
        </is>
      </c>
      <c r="G1" t="inlineStr">
        <is>
          <t>arg_types</t>
        </is>
      </c>
    </row>
    <row r="2">
      <c r="A2" t="inlineStr">
        <is>
          <t>path</t>
        </is>
      </c>
      <c r="B2" t="inlineStr">
        <is>
          <t>basename</t>
        </is>
      </c>
      <c r="C2" t="b">
        <v>1</v>
      </c>
      <c r="D2">
        <f>LAMBDA(p, [ext], LET(parts, TEXTSPLIT(p, "/"), filtered, FILTER(parts, parts&lt;&gt;""), base, INDEX(filtered, ROWS(filtered), 1), IF(OR(ISOMITTED(ext), ext=""), base, IF(RIGHT(base, LEN(ext))=ext, LEFT(base, LEN(base)-LEN(ext)), base)))</f>
        <v/>
      </c>
      <c r="E2" t="n">
        <v>1</v>
      </c>
      <c r="F2" t="n">
        <v>2</v>
      </c>
      <c r="G2" t="inlineStr">
        <is>
          <t>string,string</t>
        </is>
      </c>
    </row>
    <row r="3">
      <c r="A3" t="inlineStr">
        <is>
          <t>path</t>
        </is>
      </c>
      <c r="B3" t="inlineStr">
        <is>
          <t>delimiter</t>
        </is>
      </c>
      <c r="C3" t="b">
        <v>1</v>
      </c>
      <c r="D3">
        <f>LAMBDA([a1],"/")</f>
        <v/>
      </c>
      <c r="E3" t="n">
        <v>0</v>
      </c>
      <c r="F3" t="n">
        <v>0</v>
      </c>
    </row>
    <row r="4">
      <c r="A4" t="inlineStr">
        <is>
          <t>path</t>
        </is>
      </c>
      <c r="B4" t="inlineStr">
        <is>
          <t>dirname</t>
        </is>
      </c>
      <c r="C4" t="b">
        <v>1</v>
      </c>
      <c r="D4">
        <f>LAMBDA(p,LET(_p,p&amp;"",_n,LEN(_p),IF(OR(_p="",_p="/"),"/",LET(_slash,IFERROR(LOOKUP(2,1/(MID(_p,SEQUENCE(_n),1)="/"),SEQUENCE(_n)),0),IF(_slash&lt;=1,"/",LEFT(_p,_slash-1))))))</f>
        <v/>
      </c>
      <c r="E4" t="n">
        <v>1</v>
      </c>
      <c r="F4" t="n">
        <v>1</v>
      </c>
      <c r="G4" t="inlineStr">
        <is>
          <t>string</t>
        </is>
      </c>
    </row>
    <row r="5">
      <c r="A5" t="inlineStr">
        <is>
          <t>path</t>
        </is>
      </c>
      <c r="B5" t="inlineStr">
        <is>
          <t>extname</t>
        </is>
      </c>
      <c r="C5" t="b">
        <v>1</v>
      </c>
      <c r="D5">
        <f>LAMBDA(p,LET(_p,p&amp;"",_n,LEN(_p),_slash,IFERROR(LOOKUP(2,1/(MID(_p,SEQUENCE(_n),1)="/"),SEQUENCE(_n)),0),_dot,IFERROR(LOOKUP(2,1/(MID(_p,SEQUENCE(_n),1)="."),SEQUENCE(_n)),0),IF(OR(_dot=0,_dot&lt;=_slash),"",MID(_p,_dot,_n-_dot+1))))</f>
        <v/>
      </c>
      <c r="E5" t="n">
        <v>1</v>
      </c>
      <c r="F5" t="n">
        <v>1</v>
      </c>
      <c r="G5" t="inlineStr">
        <is>
          <t>string</t>
        </is>
      </c>
    </row>
    <row r="6">
      <c r="A6" t="inlineStr">
        <is>
          <t>path</t>
        </is>
      </c>
      <c r="B6" t="inlineStr">
        <is>
          <t>format</t>
        </is>
      </c>
      <c r="C6" t="b">
        <v>1</v>
      </c>
      <c r="D6">
        <f>LAMBDA(po,LET(r,IFERROR(po[root],""),d,IFERROR(po[dir],""),b,IFERROR(po[base],""),n,IFERROR(po[name],""),e,IFERROR(po[ext],""),f,IF(b="",n&amp;e,b),IF(d="",r&amp;f,IF(LEFT(d,1)="/",d&amp;IF(RIGHT(d,1)="/","","/")&amp;f,r&amp;IF(RIGHT(r,1)="/","",IF(r="","","/"))&amp;d&amp;"/"&amp;f))))</f>
        <v/>
      </c>
      <c r="E6" t="n">
        <v>1</v>
      </c>
      <c r="F6" t="n">
        <v>1</v>
      </c>
      <c r="G6" t="inlineStr">
        <is>
          <t>any</t>
        </is>
      </c>
    </row>
    <row r="7">
      <c r="A7" t="inlineStr">
        <is>
          <t>path</t>
        </is>
      </c>
      <c r="B7" t="inlineStr">
        <is>
          <t>isAbsolute</t>
        </is>
      </c>
      <c r="C7" t="b">
        <v>1</v>
      </c>
      <c r="D7">
        <f>LAMBDA(p, IF(LEN(p)=0, FALSE, LEFT(p,1)="/"))</f>
        <v/>
      </c>
      <c r="E7" t="n">
        <v>1</v>
      </c>
      <c r="F7" t="n">
        <v>1</v>
      </c>
      <c r="G7" t="inlineStr">
        <is>
          <t>string</t>
        </is>
      </c>
    </row>
    <row r="8">
      <c r="A8" t="inlineStr">
        <is>
          <t>path</t>
        </is>
      </c>
      <c r="B8" t="inlineStr">
        <is>
          <t>join</t>
        </is>
      </c>
      <c r="C8" t="b">
        <v>1</v>
      </c>
      <c r="D8">
        <f>LAMBDA(p1,[p2],[p3],[p4],[p5],TEXTJOIN("/",TRUE,p1,p2,p3,p4,p5))</f>
        <v/>
      </c>
      <c r="E8" t="n">
        <v>1</v>
      </c>
      <c r="F8" t="n">
        <v>5</v>
      </c>
      <c r="G8" t="inlineStr">
        <is>
          <t>string,string,string,string,string</t>
        </is>
      </c>
    </row>
    <row r="9">
      <c r="A9" t="inlineStr">
        <is>
          <t>path</t>
        </is>
      </c>
      <c r="B9" t="inlineStr">
        <is>
          <t>normalize</t>
        </is>
      </c>
      <c r="C9" t="b">
        <v>1</v>
      </c>
      <c r="D9">
        <f>LAMBDA(p,LET(_p,p&amp;"",_abs,LEFT(_p,1)="/",_parts,IFERROR(FILTER(TEXTSPLIT(_p,"/"),TEXTSPLIT(_p,"/")&lt;&gt;""),""),_joined,TEXTJOIN("/",TRUE,_parts),IF(_joined="",IF(_abs,"/","."),IF(_abs,"/"&amp;_joined,_joined))))</f>
        <v/>
      </c>
      <c r="E9" t="n">
        <v>1</v>
      </c>
      <c r="F9" t="n">
        <v>1</v>
      </c>
      <c r="G9" t="inlineStr">
        <is>
          <t>string</t>
        </is>
      </c>
    </row>
    <row r="10">
      <c r="A10" t="inlineStr">
        <is>
          <t>path</t>
        </is>
      </c>
      <c r="B10" t="inlineStr">
        <is>
          <t>parse</t>
        </is>
      </c>
      <c r="C10" t="b">
        <v>1</v>
      </c>
      <c r="D10">
        <f>LAMBDA(p,LET(_p,p&amp;"",_n,LEN(_p),_root,IF(LEFT(_p,1)="/","/",""),_slash,IFERROR(LOOKUP(2,1/(MID(_p,SEQUENCE(_n),1)="/"),SEQUENCE(_n)),0),_base,IF(OR(_p="",RIGHT(_p,1)="/"),"",RIGHT(_p,_n-_slash)),_dot,IFERROR(LOOKUP(2,1/(MID(_base,SEQUENCE(LEN(_base)),1)="."),SEQUENCE(LEN(_base))),0),_ext,IF(_dot=0,"",RIGHT(_base,LEN(_base)-_dot+1)),_name,IF(_ext="",_base,LEFT(_base,LEN(_base)-LEN(_ext))),_dir,IF(_slash=0,"",IF(_slash=1,"/",LEFT(_p,_slash-1))),HSTACK({"root","dir","base","ext","name"},{_root,_dir,_base,_ext,_name})))</f>
        <v/>
      </c>
      <c r="E10" t="n">
        <v>1</v>
      </c>
      <c r="F10" t="n">
        <v>1</v>
      </c>
      <c r="G10" t="inlineStr">
        <is>
          <t>string</t>
        </is>
      </c>
    </row>
    <row r="11">
      <c r="A11" t="inlineStr">
        <is>
          <t>path</t>
        </is>
      </c>
      <c r="B11" t="inlineStr">
        <is>
          <t>relative</t>
        </is>
      </c>
      <c r="C11" t="b">
        <v>1</v>
      </c>
      <c r="D11">
        <f>LAMBDA(from,to,LET(relative,IFERROR(TEXTAFTER(to,from&amp;"/"),""),IF(relative="",IF(to=from,".",to),relative)))</f>
        <v/>
      </c>
      <c r="E11" t="n">
        <v>2</v>
      </c>
      <c r="F11" t="n">
        <v>2</v>
      </c>
      <c r="G11" t="inlineStr">
        <is>
          <t>string,string</t>
        </is>
      </c>
    </row>
    <row r="12">
      <c r="A12" t="inlineStr">
        <is>
          <t>url</t>
        </is>
      </c>
      <c r="B12" t="inlineStr">
        <is>
          <t>parse</t>
        </is>
      </c>
      <c r="C12" t="b">
        <v>1</v>
      </c>
      <c r="D12">
        <f>LAMBDA(url,parseQueryString,slashesDenoteHost,LET(_parseQueryString,IFERROR(parseQueryString,FALSE),_slashesDenoteHost,IFERROR(slashesDenoteHost,FALSE),raw,IFERROR(url,""),clean,TRIM(raw),protoPos,IFERROR(FIND("://",clean),0),protocol,IF(protoPos=0,"",LEFT(clean,protoPos-1)&amp;":"),rest,IF(protoPos=0,clean,MID(clean,protoPos+3,LEN(clean)-protoPos-2),hashPos,IFERROR(FIND("#",rest),0),hash,IF(hashPos=0,"",MID(rest,hashPos,LEN(rest)-hashPos+1)),withoutHash,IF(hashPos=0,rest,LEFT(rest,hashPos-1)),slashPos,IFERROR(FIND("/",withoutHash),0),authority,IF(slashPos=0,withoutHash,LEFT(withoutHash,slashPos-1)),pathAndQuery,IF(slashPos=0,"",MID(withoutHash,slashPos,LEN(withoutHash)-slashPos+1)),queryPos,IF(pathAndQuery="",0,IFERROR(FIND("?",pathAndQuery),0)),pathname,IF(slashPos=0,"",IF(queryPos=0,pathAndQuery,LEFT(pathAndQuery,queryPos-1))),query,IF(slashPos=0,"",IF(queryPos=0,"",MID(pathAndQuery,queryPos+1,LEN(pathAndQuery)-queryPos))),search,IF(query="","", "?"&amp;query),atPos,IFERROR(FIND("@",authority),0),hostPort,IF(atPos=0,authority,RIGHT(authority,LEN(authority)-atPos)),colonPos,IFERROR(FIND(":",hostPort),0),hostname,IF(colonPos=0,hostPort,LEFT(hostPort,colonPos-1)),host,hostPort,port,IF(colonPos=0,"",MID(hostPort,colonPos+1,LEN(hostPort)-colonPos)),HSTACK({"protocol","slashes","auth","host","port","hostname","hash","search","query","pathname","path","href"},{protocol,protoPos&gt;0,"",host,port,hostname,hash,search,query,pathname,pathname,clean})))</f>
        <v/>
      </c>
      <c r="E12" t="n">
        <v>1</v>
      </c>
      <c r="F12" t="n">
        <v>3</v>
      </c>
      <c r="G12" t="inlineStr">
        <is>
          <t>string,any,any</t>
        </is>
      </c>
    </row>
    <row r="13">
      <c r="A13" t="inlineStr">
        <is>
          <t>url</t>
        </is>
      </c>
      <c r="B13" t="inlineStr">
        <is>
          <t>resolve</t>
        </is>
      </c>
      <c r="C13" t="b">
        <v>1</v>
      </c>
      <c r="D13">
        <f>LAMBDA(source,relative,LET(_s,source&amp;"",_r,relative&amp;"",_scheme,ISNUMBER(SEARCH("://",_r)),IF(_scheme,_r,LET(_pos,IFERROR(SEARCH("://",_s),0),_after,IF(_pos=0,_s,MID(_s,_pos+3,LEN(_s))),_slash,IFERROR(SEARCH("/",_after),0),_origin,IF(_pos=0,"",LEFT(_s,_pos+2)&amp;IF(_slash=0,_after,LEFT(_after,_slash-1))),IF(LEFT(_r,1)="/",_origin&amp;_r,_origin&amp;"/"&amp;_r)))))</f>
        <v/>
      </c>
      <c r="E13" t="n">
        <v>2</v>
      </c>
      <c r="F13" t="n">
        <v>2</v>
      </c>
      <c r="G13" t="inlineStr">
        <is>
          <t>string,string</t>
        </is>
      </c>
    </row>
    <row r="14">
      <c r="A14" t="inlineStr">
        <is>
          <t>semver</t>
        </is>
      </c>
      <c r="B14" t="inlineStr">
        <is>
          <t>parse</t>
        </is>
      </c>
      <c r="C14" t="b">
        <v>1</v>
      </c>
      <c r="D14">
        <f>LAMBDA(version,LET(raw,IFERROR(version,""),clean,TRIM(raw),noPrefix,IF(LEFT(clean,1)="v",RIGHT(clean,LEN(clean)-1),clean),noEq,IF(LEFT(noPrefix,1)="=",RIGHT(noPrefix,LEN(noPrefix)-1),noPrefix),compact,IFERROR(LEFT(noEq,FIND(" ",noEq)-1),noEq),withBuild,IFERROR(LEFT(compact,FIND("+",compact)-1),compact),build,IFERROR(TEXTAFTER(compact,"+"),""),main,IFERROR(LEFT(withBuild,FIND("-",withBuild)-1),withBuild),pre,IFERROR(TEXTAFTER(withBuild,"-"),""),parts,TEXTSPLIT(main,"."),major,IFERROR(--INDEX(parts,1),0),minor,IFERROR(--INDEX(parts,2),0),patch,IFERROR(--INDEX(parts,3),0),HSTACK({"major","minor","patch","prerelease","build","version"},{major,minor,patch,IF(pre="","",pre),IF(build="","",build),main}))</f>
        <v/>
      </c>
      <c r="E14" t="n">
        <v>1</v>
      </c>
      <c r="F14" t="n">
        <v>1</v>
      </c>
      <c r="G14" t="inlineStr">
        <is>
          <t>string</t>
        </is>
      </c>
    </row>
    <row r="15">
      <c r="A15" t="inlineStr">
        <is>
          <t>math</t>
        </is>
      </c>
      <c r="B15" t="inlineStr">
        <is>
          <t>abs</t>
        </is>
      </c>
      <c r="C15" t="b">
        <v>1</v>
      </c>
      <c r="D15">
        <f>LAMBDA(x,IFERROR(ABS(x),0))</f>
        <v/>
      </c>
      <c r="E15" t="n">
        <v>1</v>
      </c>
      <c r="F15" t="n">
        <v>1</v>
      </c>
      <c r="G15" t="inlineStr">
        <is>
          <t>number</t>
        </is>
      </c>
    </row>
    <row r="16">
      <c r="A16" t="inlineStr">
        <is>
          <t>math</t>
        </is>
      </c>
      <c r="B16" t="inlineStr">
        <is>
          <t>acos</t>
        </is>
      </c>
      <c r="C16" t="b">
        <v>1</v>
      </c>
      <c r="D16">
        <f>LAMBDA(x,IFERROR(ACOS(x),0))</f>
        <v/>
      </c>
      <c r="E16" t="n">
        <v>1</v>
      </c>
      <c r="F16" t="n">
        <v>1</v>
      </c>
      <c r="G16" t="inlineStr">
        <is>
          <t>number</t>
        </is>
      </c>
    </row>
    <row r="17">
      <c r="A17" t="inlineStr">
        <is>
          <t>math</t>
        </is>
      </c>
      <c r="B17" t="inlineStr">
        <is>
          <t>acosh</t>
        </is>
      </c>
      <c r="C17" t="b">
        <v>1</v>
      </c>
      <c r="D17">
        <f>LAMBDA(x,IFERROR(ACOSH(x),0))</f>
        <v/>
      </c>
      <c r="E17" t="n">
        <v>1</v>
      </c>
      <c r="F17" t="n">
        <v>1</v>
      </c>
      <c r="G17" t="inlineStr">
        <is>
          <t>number</t>
        </is>
      </c>
    </row>
    <row r="18">
      <c r="A18" t="inlineStr">
        <is>
          <t>math</t>
        </is>
      </c>
      <c r="B18" t="inlineStr">
        <is>
          <t>add2</t>
        </is>
      </c>
      <c r="C18" t="b">
        <v>1</v>
      </c>
      <c r="D18">
        <f>LAMBDA(a,b,a+b)</f>
        <v/>
      </c>
      <c r="E18" t="n">
        <v>2</v>
      </c>
      <c r="F18" t="n">
        <v>2</v>
      </c>
      <c r="G18" t="inlineStr">
        <is>
          <t>number,number</t>
        </is>
      </c>
    </row>
    <row r="19">
      <c r="A19" t="inlineStr">
        <is>
          <t>math</t>
        </is>
      </c>
      <c r="B19" t="inlineStr">
        <is>
          <t>add3</t>
        </is>
      </c>
      <c r="C19" t="b">
        <v>1</v>
      </c>
      <c r="D19">
        <f>LAMBDA(a,b,c,a+b+c)</f>
        <v/>
      </c>
      <c r="E19" t="n">
        <v>3</v>
      </c>
      <c r="F19" t="n">
        <v>3</v>
      </c>
      <c r="G19" t="inlineStr">
        <is>
          <t>number,number,number</t>
        </is>
      </c>
    </row>
    <row r="20">
      <c r="A20" t="inlineStr">
        <is>
          <t>math</t>
        </is>
      </c>
      <c r="B20" t="inlineStr">
        <is>
          <t>add4</t>
        </is>
      </c>
      <c r="C20" t="b">
        <v>1</v>
      </c>
      <c r="D20">
        <f>LAMBDA(a,b,c,d,a+b+c+d)</f>
        <v/>
      </c>
    </row>
    <row r="21">
      <c r="A21" t="inlineStr">
        <is>
          <t>math</t>
        </is>
      </c>
      <c r="B21" t="inlineStr">
        <is>
          <t>asin</t>
        </is>
      </c>
      <c r="C21" t="b">
        <v>1</v>
      </c>
      <c r="D21">
        <f>LAMBDA(x,IFERROR(ASIN(x),0))</f>
        <v/>
      </c>
    </row>
    <row r="22">
      <c r="A22" t="inlineStr">
        <is>
          <t>math</t>
        </is>
      </c>
      <c r="B22" t="inlineStr">
        <is>
          <t>asinh</t>
        </is>
      </c>
      <c r="C22" t="b">
        <v>1</v>
      </c>
      <c r="D22">
        <f>LAMBDA(x,IFERROR(ASINH(x),0))</f>
        <v/>
      </c>
    </row>
    <row r="23">
      <c r="A23" t="inlineStr">
        <is>
          <t>math</t>
        </is>
      </c>
      <c r="B23" t="inlineStr">
        <is>
          <t>atan</t>
        </is>
      </c>
      <c r="C23" t="b">
        <v>1</v>
      </c>
      <c r="D23">
        <f>LAMBDA(x,IFERROR(ATAN(x),0))</f>
        <v/>
      </c>
    </row>
    <row r="24">
      <c r="A24" t="inlineStr">
        <is>
          <t>math</t>
        </is>
      </c>
      <c r="B24" t="inlineStr">
        <is>
          <t>atanh</t>
        </is>
      </c>
      <c r="C24" t="b">
        <v>1</v>
      </c>
      <c r="D24">
        <f>LAMBDA(x,IFERROR(ATANH(x),0))</f>
        <v/>
      </c>
    </row>
    <row r="25">
      <c r="A25" t="inlineStr">
        <is>
          <t>math</t>
        </is>
      </c>
      <c r="B25" t="inlineStr">
        <is>
          <t>atan2</t>
        </is>
      </c>
      <c r="C25" t="b">
        <v>1</v>
      </c>
      <c r="D25">
        <f>LAMBDA(y,x,IFERROR(ATAN2(y,x),0))</f>
        <v/>
      </c>
    </row>
    <row r="26">
      <c r="A26" t="inlineStr">
        <is>
          <t>math</t>
        </is>
      </c>
      <c r="B26" t="inlineStr">
        <is>
          <t>cbrt</t>
        </is>
      </c>
      <c r="C26" t="b">
        <v>1</v>
      </c>
      <c r="D26">
        <f>LAMBDA(x,IFERROR(SIGN(x)*ABS(x)^(1/3),0))</f>
        <v/>
      </c>
    </row>
    <row r="27">
      <c r="A27" t="inlineStr">
        <is>
          <t>math</t>
        </is>
      </c>
      <c r="B27" t="inlineStr">
        <is>
          <t>ceil</t>
        </is>
      </c>
      <c r="C27" t="b">
        <v>1</v>
      </c>
      <c r="D27">
        <f>LAMBDA(x,IFERROR(ROUNDUP(x,0),0))</f>
        <v/>
      </c>
    </row>
    <row r="28">
      <c r="A28" t="inlineStr">
        <is>
          <t>math</t>
        </is>
      </c>
      <c r="B28" t="inlineStr">
        <is>
          <t>clamp</t>
        </is>
      </c>
      <c r="C28" t="b">
        <v>1</v>
      </c>
      <c r="D28">
        <f>LAMBDA(v,lo,hi,IF(v&lt;lo,lo,IF(v&gt;hi,hi,v)))</f>
        <v/>
      </c>
    </row>
    <row r="29">
      <c r="A29" t="inlineStr">
        <is>
          <t>math</t>
        </is>
      </c>
      <c r="B29" t="inlineStr">
        <is>
          <t>cos</t>
        </is>
      </c>
      <c r="C29" t="b">
        <v>1</v>
      </c>
      <c r="D29">
        <f>LAMBDA(x,IFERROR(COS(x),0))</f>
        <v/>
      </c>
    </row>
    <row r="30">
      <c r="A30" t="inlineStr">
        <is>
          <t>math</t>
        </is>
      </c>
      <c r="B30" t="inlineStr">
        <is>
          <t>cosh</t>
        </is>
      </c>
      <c r="C30" t="b">
        <v>1</v>
      </c>
      <c r="D30">
        <f>LAMBDA(x,IFERROR(COSH(x),0))</f>
        <v/>
      </c>
    </row>
    <row r="31">
      <c r="A31" t="inlineStr">
        <is>
          <t>math</t>
        </is>
      </c>
      <c r="B31" t="inlineStr">
        <is>
          <t>degrees</t>
        </is>
      </c>
      <c r="C31" t="b">
        <v>1</v>
      </c>
      <c r="D31">
        <f>LAMBDA(x,IFERROR(DEGREES(x),0))</f>
        <v/>
      </c>
    </row>
    <row r="32">
      <c r="A32" t="inlineStr">
        <is>
          <t>math</t>
        </is>
      </c>
      <c r="B32" t="inlineStr">
        <is>
          <t>div2</t>
        </is>
      </c>
      <c r="C32" t="b">
        <v>1</v>
      </c>
      <c r="D32">
        <f>LAMBDA(a,b,IFERROR(a/b,0))</f>
        <v/>
      </c>
    </row>
    <row r="33">
      <c r="A33" t="inlineStr">
        <is>
          <t>math</t>
        </is>
      </c>
      <c r="B33" t="inlineStr">
        <is>
          <t>div3</t>
        </is>
      </c>
      <c r="C33" t="b">
        <v>1</v>
      </c>
      <c r="D33">
        <f>LAMBDA(a,b,c,IFERROR(a/(b*c),0))</f>
        <v/>
      </c>
    </row>
    <row r="34">
      <c r="A34" t="inlineStr">
        <is>
          <t>math</t>
        </is>
      </c>
      <c r="B34" t="inlineStr">
        <is>
          <t>exp</t>
        </is>
      </c>
      <c r="C34" t="b">
        <v>1</v>
      </c>
      <c r="D34">
        <f>LAMBDA(x,IFERROR(EXP(x),0))</f>
        <v/>
      </c>
    </row>
    <row r="35">
      <c r="A35" t="inlineStr">
        <is>
          <t>math</t>
        </is>
      </c>
      <c r="B35" t="inlineStr">
        <is>
          <t>expm1</t>
        </is>
      </c>
      <c r="C35" t="b">
        <v>1</v>
      </c>
      <c r="D35">
        <f>LAMBDA(x,IFERROR(EXP(x)-1,0))</f>
        <v/>
      </c>
    </row>
    <row r="36">
      <c r="A36" t="inlineStr">
        <is>
          <t>math</t>
        </is>
      </c>
      <c r="B36" t="inlineStr">
        <is>
          <t>floor</t>
        </is>
      </c>
      <c r="C36" t="b">
        <v>1</v>
      </c>
      <c r="D36">
        <f>LAMBDA(x,IFERROR(ROUNDDOWN(x,0),0))</f>
        <v/>
      </c>
    </row>
    <row r="37">
      <c r="A37" t="inlineStr">
        <is>
          <t>math</t>
        </is>
      </c>
      <c r="B37" t="inlineStr">
        <is>
          <t>gcd</t>
        </is>
      </c>
      <c r="C37" t="b">
        <v>1</v>
      </c>
      <c r="D37">
        <f>LAMBDA(a,b,GCD(ROUND(a,0),ROUND(b,0)))</f>
        <v/>
      </c>
    </row>
    <row r="38">
      <c r="A38" t="inlineStr">
        <is>
          <t>math</t>
        </is>
      </c>
      <c r="B38" t="inlineStr">
        <is>
          <t>hypot</t>
        </is>
      </c>
      <c r="C38" t="b">
        <v>1</v>
      </c>
      <c r="D38">
        <f>LAMBDA(a,b,SQRT(a*a+b*b))</f>
        <v/>
      </c>
    </row>
    <row r="39">
      <c r="A39" t="inlineStr">
        <is>
          <t>math</t>
        </is>
      </c>
      <c r="B39" t="inlineStr">
        <is>
          <t>is_integer</t>
        </is>
      </c>
      <c r="C39" t="b">
        <v>1</v>
      </c>
      <c r="D39">
        <f>LAMBDA(x,AND(ISNUMBER(x),INT(x)=x))</f>
        <v/>
      </c>
    </row>
    <row r="40">
      <c r="A40" t="inlineStr">
        <is>
          <t>math</t>
        </is>
      </c>
      <c r="B40" t="inlineStr">
        <is>
          <t>is_negative</t>
        </is>
      </c>
      <c r="C40" t="b">
        <v>1</v>
      </c>
      <c r="D40">
        <f>LAMBDA(x,x&lt;0)</f>
        <v/>
      </c>
    </row>
    <row r="41">
      <c r="A41" t="inlineStr">
        <is>
          <t>math</t>
        </is>
      </c>
      <c r="B41" t="inlineStr">
        <is>
          <t>is_positive</t>
        </is>
      </c>
      <c r="C41" t="b">
        <v>1</v>
      </c>
      <c r="D41">
        <f>LAMBDA(x,x&gt;0)</f>
        <v/>
      </c>
    </row>
    <row r="42">
      <c r="A42" t="inlineStr">
        <is>
          <t>math</t>
        </is>
      </c>
      <c r="B42" t="inlineStr">
        <is>
          <t>is_zero</t>
        </is>
      </c>
      <c r="C42" t="b">
        <v>1</v>
      </c>
      <c r="D42">
        <f>LAMBDA(x,IFERROR(x=0,FALSE))</f>
        <v/>
      </c>
    </row>
    <row r="43">
      <c r="A43" t="inlineStr">
        <is>
          <t>math</t>
        </is>
      </c>
      <c r="B43" t="inlineStr">
        <is>
          <t>ln</t>
        </is>
      </c>
      <c r="C43" t="b">
        <v>1</v>
      </c>
      <c r="D43">
        <f>LAMBDA(x,IFERROR(LN(x),0))</f>
        <v/>
      </c>
    </row>
    <row r="44">
      <c r="A44" t="inlineStr">
        <is>
          <t>math</t>
        </is>
      </c>
      <c r="B44" t="inlineStr">
        <is>
          <t>log</t>
        </is>
      </c>
      <c r="C44" t="b">
        <v>1</v>
      </c>
      <c r="D44">
        <f>LAMBDA(x,IFERROR(LOG(x),0))</f>
        <v/>
      </c>
    </row>
    <row r="45">
      <c r="A45" t="inlineStr">
        <is>
          <t>math</t>
        </is>
      </c>
      <c r="B45" t="inlineStr">
        <is>
          <t>log10</t>
        </is>
      </c>
      <c r="C45" t="b">
        <v>1</v>
      </c>
      <c r="D45">
        <f>LAMBDA(x,IFERROR(LOG10(x),0))</f>
        <v/>
      </c>
    </row>
    <row r="46">
      <c r="A46" t="inlineStr">
        <is>
          <t>math</t>
        </is>
      </c>
      <c r="B46" t="inlineStr">
        <is>
          <t>log1p</t>
        </is>
      </c>
      <c r="C46" t="b">
        <v>1</v>
      </c>
      <c r="D46">
        <f>LAMBDA(x,IFERROR(LOG(x+1),0))</f>
        <v/>
      </c>
    </row>
    <row r="47">
      <c r="A47" t="inlineStr">
        <is>
          <t>math</t>
        </is>
      </c>
      <c r="B47" t="inlineStr">
        <is>
          <t>log2</t>
        </is>
      </c>
      <c r="C47" t="b">
        <v>1</v>
      </c>
      <c r="D47">
        <f>LAMBDA(x,IFERROR(LOG(x,2),0))</f>
        <v/>
      </c>
    </row>
    <row r="48">
      <c r="A48" t="inlineStr">
        <is>
          <t>math</t>
        </is>
      </c>
      <c r="B48" t="inlineStr">
        <is>
          <t>lcm</t>
        </is>
      </c>
      <c r="C48" t="b">
        <v>1</v>
      </c>
      <c r="D48">
        <f>LAMBDA(a,b,LCM(ROUND(a,0),ROUND(b,0)))</f>
        <v/>
      </c>
    </row>
    <row r="49">
      <c r="A49" t="inlineStr">
        <is>
          <t>math</t>
        </is>
      </c>
      <c r="B49" t="inlineStr">
        <is>
          <t>max2</t>
        </is>
      </c>
      <c r="C49" t="b">
        <v>1</v>
      </c>
      <c r="D49">
        <f>LAMBDA(a,b,MAX(a,b))</f>
        <v/>
      </c>
    </row>
    <row r="50">
      <c r="A50" t="inlineStr">
        <is>
          <t>math</t>
        </is>
      </c>
      <c r="B50" t="inlineStr">
        <is>
          <t>max3</t>
        </is>
      </c>
      <c r="C50" t="b">
        <v>1</v>
      </c>
      <c r="D50">
        <f>LAMBDA(a,b,c,MAX(a,b,c))</f>
        <v/>
      </c>
    </row>
    <row r="51">
      <c r="A51" t="inlineStr">
        <is>
          <t>math</t>
        </is>
      </c>
      <c r="B51" t="inlineStr">
        <is>
          <t>min2</t>
        </is>
      </c>
      <c r="C51" t="b">
        <v>1</v>
      </c>
      <c r="D51">
        <f>LAMBDA(a,b,MIN(a,b))</f>
        <v/>
      </c>
    </row>
    <row r="52">
      <c r="A52" t="inlineStr">
        <is>
          <t>math</t>
        </is>
      </c>
      <c r="B52" t="inlineStr">
        <is>
          <t>min3</t>
        </is>
      </c>
      <c r="C52" t="b">
        <v>1</v>
      </c>
      <c r="D52">
        <f>LAMBDA(a,b,c,MIN(a,b,c))</f>
        <v/>
      </c>
    </row>
    <row r="53">
      <c r="A53" t="inlineStr">
        <is>
          <t>math</t>
        </is>
      </c>
      <c r="B53" t="inlineStr">
        <is>
          <t>mod</t>
        </is>
      </c>
      <c r="C53" t="b">
        <v>1</v>
      </c>
      <c r="D53">
        <f>LAMBDA(a,b,IFERROR(MOD(a,b),0))</f>
        <v/>
      </c>
    </row>
    <row r="54">
      <c r="A54" t="inlineStr">
        <is>
          <t>math</t>
        </is>
      </c>
      <c r="B54" t="inlineStr">
        <is>
          <t>mul2</t>
        </is>
      </c>
      <c r="C54" t="b">
        <v>1</v>
      </c>
      <c r="D54">
        <f>LAMBDA(a,b,a*b)</f>
        <v/>
      </c>
    </row>
    <row r="55">
      <c r="A55" t="inlineStr">
        <is>
          <t>math</t>
        </is>
      </c>
      <c r="B55" t="inlineStr">
        <is>
          <t>mul3</t>
        </is>
      </c>
      <c r="C55" t="b">
        <v>1</v>
      </c>
      <c r="D55">
        <f>LAMBDA(a,b,c,a*b*c)</f>
        <v/>
      </c>
    </row>
    <row r="56">
      <c r="A56" t="inlineStr">
        <is>
          <t>math</t>
        </is>
      </c>
      <c r="B56" t="inlineStr">
        <is>
          <t>percent</t>
        </is>
      </c>
      <c r="C56" t="b">
        <v>1</v>
      </c>
      <c r="D56">
        <f>LAMBDA(a,b,IFERROR(a/b,0))</f>
        <v/>
      </c>
    </row>
    <row r="57">
      <c r="A57" t="inlineStr">
        <is>
          <t>math</t>
        </is>
      </c>
      <c r="B57" t="inlineStr">
        <is>
          <t>pow</t>
        </is>
      </c>
      <c r="C57" t="b">
        <v>1</v>
      </c>
      <c r="D57">
        <f>LAMBDA(a,b,IFERROR(a^b,0))</f>
        <v/>
      </c>
    </row>
    <row r="58">
      <c r="A58" t="inlineStr">
        <is>
          <t>math</t>
        </is>
      </c>
      <c r="B58" t="inlineStr">
        <is>
          <t>radians</t>
        </is>
      </c>
      <c r="C58" t="b">
        <v>1</v>
      </c>
      <c r="D58">
        <f>LAMBDA(x,IFERROR(RADIANS(x),0))</f>
        <v/>
      </c>
    </row>
    <row r="59">
      <c r="A59" t="inlineStr">
        <is>
          <t>math</t>
        </is>
      </c>
      <c r="B59" t="inlineStr">
        <is>
          <t>round</t>
        </is>
      </c>
      <c r="C59" t="b">
        <v>1</v>
      </c>
      <c r="D59">
        <f>LAMBDA(x,IFERROR(ROUND(x,0),0))</f>
        <v/>
      </c>
    </row>
    <row r="60">
      <c r="A60" t="inlineStr">
        <is>
          <t>math</t>
        </is>
      </c>
      <c r="B60" t="inlineStr">
        <is>
          <t>round_to</t>
        </is>
      </c>
      <c r="C60" t="b">
        <v>1</v>
      </c>
      <c r="D60">
        <f>LAMBDA(x,n,IFERROR(ROUND(x,n),0))</f>
        <v/>
      </c>
    </row>
    <row r="61">
      <c r="A61" t="inlineStr">
        <is>
          <t>math</t>
        </is>
      </c>
      <c r="B61" t="inlineStr">
        <is>
          <t>sign</t>
        </is>
      </c>
      <c r="C61" t="b">
        <v>1</v>
      </c>
      <c r="D61">
        <f>LAMBDA(x,SIGN(x))</f>
        <v/>
      </c>
    </row>
    <row r="62">
      <c r="A62" t="inlineStr">
        <is>
          <t>math</t>
        </is>
      </c>
      <c r="B62" t="inlineStr">
        <is>
          <t>sin</t>
        </is>
      </c>
      <c r="C62" t="b">
        <v>1</v>
      </c>
      <c r="D62">
        <f>LAMBDA(x,IFERROR(SIN(x),0))</f>
        <v/>
      </c>
    </row>
    <row r="63">
      <c r="A63" t="inlineStr">
        <is>
          <t>math</t>
        </is>
      </c>
      <c r="B63" t="inlineStr">
        <is>
          <t>sqrt</t>
        </is>
      </c>
      <c r="C63" t="b">
        <v>1</v>
      </c>
      <c r="D63">
        <f>LAMBDA(x,IFERROR(SQRT(x),0))</f>
        <v/>
      </c>
    </row>
    <row r="64">
      <c r="A64" t="inlineStr">
        <is>
          <t>math</t>
        </is>
      </c>
      <c r="B64" t="inlineStr">
        <is>
          <t>subtract</t>
        </is>
      </c>
      <c r="C64" t="b">
        <v>1</v>
      </c>
      <c r="D64">
        <f>LAMBDA(a,b,a-b)</f>
        <v/>
      </c>
    </row>
    <row r="65">
      <c r="A65" t="inlineStr">
        <is>
          <t>math</t>
        </is>
      </c>
      <c r="B65" t="inlineStr">
        <is>
          <t>tan</t>
        </is>
      </c>
      <c r="C65" t="b">
        <v>1</v>
      </c>
      <c r="D65">
        <f>LAMBDA(x,IFERROR(TAN(x),0))</f>
        <v/>
      </c>
    </row>
    <row r="66">
      <c r="A66" t="inlineStr">
        <is>
          <t>math</t>
        </is>
      </c>
      <c r="B66" t="inlineStr">
        <is>
          <t>tanh</t>
        </is>
      </c>
      <c r="C66" t="b">
        <v>1</v>
      </c>
      <c r="D66">
        <f>LAMBDA(x,IFERROR(TANH(x),0))</f>
        <v/>
      </c>
    </row>
    <row r="67">
      <c r="A67" t="inlineStr">
        <is>
          <t>math</t>
        </is>
      </c>
      <c r="B67" t="inlineStr">
        <is>
          <t>trunc</t>
        </is>
      </c>
      <c r="C67" t="b">
        <v>1</v>
      </c>
      <c r="D67">
        <f>LAMBDA(x,IFERROR(TRUNC(x),0))</f>
        <v/>
      </c>
    </row>
    <row r="68">
      <c r="A68" t="inlineStr">
        <is>
          <t>math</t>
        </is>
      </c>
      <c r="B68" t="inlineStr">
        <is>
          <t>random_from_seed</t>
        </is>
      </c>
      <c r="C68" t="b">
        <v>1</v>
      </c>
      <c r="D68">
        <f>LAMBDA(seed,MOD(seed*1103515245+12345,2147483648)/2147483648)</f>
        <v/>
      </c>
    </row>
    <row r="69">
      <c r="A69" t="inlineStr">
        <is>
          <t>math</t>
        </is>
      </c>
      <c r="B69" t="inlineStr">
        <is>
          <t>factorial</t>
        </is>
      </c>
      <c r="C69" t="b">
        <v>1</v>
      </c>
      <c r="D69">
        <f>LAMBDA(x,IFERROR(FACT(ROUND(x,0)),0))</f>
        <v/>
      </c>
    </row>
    <row r="70">
      <c r="A70" t="inlineStr">
        <is>
          <t>math</t>
        </is>
      </c>
      <c r="B70" t="inlineStr">
        <is>
          <t>is_even</t>
        </is>
      </c>
      <c r="C70" t="b">
        <v>1</v>
      </c>
      <c r="D70">
        <f>LAMBDA(x,MOD(ROUND(x,0),2)=0)</f>
        <v/>
      </c>
    </row>
    <row r="71">
      <c r="A71" t="inlineStr">
        <is>
          <t>math</t>
        </is>
      </c>
      <c r="B71" t="inlineStr">
        <is>
          <t>is_odd</t>
        </is>
      </c>
      <c r="C71" t="b">
        <v>1</v>
      </c>
      <c r="D71">
        <f>LAMBDA(x,MOD(ROUND(x,0),2)&lt;&gt;0)</f>
        <v/>
      </c>
    </row>
    <row r="72">
      <c r="A72" t="inlineStr">
        <is>
          <t>math</t>
        </is>
      </c>
      <c r="B72" t="inlineStr">
        <is>
          <t>avg2</t>
        </is>
      </c>
      <c r="C72" t="b">
        <v>1</v>
      </c>
      <c r="D72">
        <f>LAMBDA(a,b,(a+b)/2)</f>
        <v/>
      </c>
    </row>
    <row r="73">
      <c r="A73" t="inlineStr">
        <is>
          <t>math</t>
        </is>
      </c>
      <c r="B73" t="inlineStr">
        <is>
          <t>avg3</t>
        </is>
      </c>
      <c r="C73" t="b">
        <v>1</v>
      </c>
      <c r="D73">
        <f>LAMBDA(a,b,c,(a+b+c)/3)</f>
        <v/>
      </c>
    </row>
    <row r="74">
      <c r="A74" t="inlineStr">
        <is>
          <t>math</t>
        </is>
      </c>
      <c r="B74" t="inlineStr">
        <is>
          <t>sum2</t>
        </is>
      </c>
      <c r="C74" t="b">
        <v>1</v>
      </c>
      <c r="D74">
        <f>LAMBDA(a,b,a+b)</f>
        <v/>
      </c>
    </row>
    <row r="75">
      <c r="A75" t="inlineStr">
        <is>
          <t>math</t>
        </is>
      </c>
      <c r="B75" t="inlineStr">
        <is>
          <t>sum3</t>
        </is>
      </c>
      <c r="C75" t="b">
        <v>1</v>
      </c>
      <c r="D75">
        <f>LAMBDA(a,b,c,a+b+c)</f>
        <v/>
      </c>
    </row>
    <row r="76">
      <c r="A76" t="inlineStr">
        <is>
          <t>math</t>
        </is>
      </c>
      <c r="B76" t="inlineStr">
        <is>
          <t>prod3</t>
        </is>
      </c>
      <c r="C76" t="b">
        <v>1</v>
      </c>
      <c r="D76">
        <f>LAMBDA(a,b,c,a*b*c)</f>
        <v/>
      </c>
    </row>
    <row r="77">
      <c r="A77" t="inlineStr">
        <is>
          <t>string</t>
        </is>
      </c>
      <c r="B77" t="inlineStr">
        <is>
          <t>concat</t>
        </is>
      </c>
      <c r="C77" t="b">
        <v>1</v>
      </c>
      <c r="D77">
        <f>LAMBDA(a,[b],[c],[d],[e],TEXTJOIN("",TRUE,a,b,c,d,e))</f>
        <v/>
      </c>
    </row>
    <row r="78">
      <c r="A78" t="inlineStr">
        <is>
          <t>string</t>
        </is>
      </c>
      <c r="B78" t="inlineStr">
        <is>
          <t>join</t>
        </is>
      </c>
      <c r="C78" t="b">
        <v>1</v>
      </c>
      <c r="D78">
        <f>LAMBDA(sep,a,[b],[c],[d],[e],TEXTJOIN(sep,TRUE,a,b,c,d,e))</f>
        <v/>
      </c>
    </row>
    <row r="79">
      <c r="A79" t="inlineStr">
        <is>
          <t>string</t>
        </is>
      </c>
      <c r="B79" t="inlineStr">
        <is>
          <t>toLowerCase</t>
        </is>
      </c>
      <c r="C79" t="b">
        <v>1</v>
      </c>
      <c r="D79">
        <f>LAMBDA(s,LOWER(s))</f>
        <v/>
      </c>
    </row>
    <row r="80">
      <c r="A80" t="inlineStr">
        <is>
          <t>string</t>
        </is>
      </c>
      <c r="B80" t="inlineStr">
        <is>
          <t>toUpperCase</t>
        </is>
      </c>
      <c r="C80" t="b">
        <v>1</v>
      </c>
      <c r="D80">
        <f>LAMBDA(s,UPPER(s))</f>
        <v/>
      </c>
    </row>
    <row r="81">
      <c r="A81" t="inlineStr">
        <is>
          <t>string</t>
        </is>
      </c>
      <c r="B81" t="inlineStr">
        <is>
          <t>trim</t>
        </is>
      </c>
      <c r="C81" t="b">
        <v>1</v>
      </c>
      <c r="D81">
        <f>LAMBDA(s,TRIM(s))</f>
        <v/>
      </c>
    </row>
    <row r="82">
      <c r="A82" t="inlineStr">
        <is>
          <t>string</t>
        </is>
      </c>
      <c r="B82" t="inlineStr">
        <is>
          <t>trimStart</t>
        </is>
      </c>
      <c r="C82" t="b">
        <v>1</v>
      </c>
      <c r="D82">
        <f>LAMBDA(s,LTRIM(s))</f>
        <v/>
      </c>
    </row>
    <row r="83">
      <c r="A83" t="inlineStr">
        <is>
          <t>string</t>
        </is>
      </c>
      <c r="B83" t="inlineStr">
        <is>
          <t>trimEnd</t>
        </is>
      </c>
      <c r="C83" t="b">
        <v>1</v>
      </c>
      <c r="D83">
        <f>LAMBDA(s,RTRIM(s))</f>
        <v/>
      </c>
    </row>
    <row r="84">
      <c r="A84" t="inlineStr">
        <is>
          <t>string</t>
        </is>
      </c>
      <c r="B84" t="inlineStr">
        <is>
          <t>length</t>
        </is>
      </c>
      <c r="C84" t="b">
        <v>1</v>
      </c>
      <c r="D84">
        <f>LAMBDA(s,LEN(s))</f>
        <v/>
      </c>
    </row>
    <row r="85">
      <c r="A85" t="inlineStr">
        <is>
          <t>string</t>
        </is>
      </c>
      <c r="B85" t="inlineStr">
        <is>
          <t>left</t>
        </is>
      </c>
      <c r="C85" t="b">
        <v>1</v>
      </c>
      <c r="D85">
        <f>LAMBDA(s,n,IFERROR(LEFT(s,n),""))</f>
        <v/>
      </c>
    </row>
    <row r="86">
      <c r="A86" t="inlineStr">
        <is>
          <t>string</t>
        </is>
      </c>
      <c r="B86" t="inlineStr">
        <is>
          <t>right</t>
        </is>
      </c>
      <c r="C86" t="b">
        <v>1</v>
      </c>
      <c r="D86">
        <f>LAMBDA(s,n,IFERROR(RIGHT(s,n),""))</f>
        <v/>
      </c>
    </row>
    <row r="87">
      <c r="A87" t="inlineStr">
        <is>
          <t>string</t>
        </is>
      </c>
      <c r="B87" t="inlineStr">
        <is>
          <t>mid</t>
        </is>
      </c>
      <c r="C87" t="b">
        <v>1</v>
      </c>
      <c r="D87">
        <f>LAMBDA(s,start,len,IF(ISOMITTED(len),IFERROR(MID(s,start+1,255),""),IFERROR(MID(s,start+1,len),""))</f>
        <v/>
      </c>
    </row>
    <row r="88">
      <c r="A88" t="inlineStr">
        <is>
          <t>string</t>
        </is>
      </c>
      <c r="B88" t="inlineStr">
        <is>
          <t>substring</t>
        </is>
      </c>
      <c r="C88" t="b">
        <v>1</v>
      </c>
      <c r="D88">
        <f>LAMBDA(s,start,len,IF(ISOMITTED(len),IFERROR(MID(s,start+1,LEN(s)-start),""),IFERROR(MID(s,start+1,len),""))</f>
        <v/>
      </c>
    </row>
    <row r="89">
      <c r="A89" t="inlineStr">
        <is>
          <t>string</t>
        </is>
      </c>
      <c r="B89" t="inlineStr">
        <is>
          <t>slice</t>
        </is>
      </c>
      <c r="C89" t="b">
        <v>1</v>
      </c>
      <c r="D89">
        <f>LAMBDA(s,start,end,LET(l,LEN(s),st,IF(start&lt;0,l+start+1,start+1),en,IF(ISOMITTED(end),l,IF(end&lt;0,l+end+1,end+1)),IF(st&lt;1,st,st),IF(en&gt;l,l,en),IF(en&lt;st,"",MID(s,st,en-st+1))))</f>
        <v/>
      </c>
    </row>
    <row r="90">
      <c r="A90" t="inlineStr">
        <is>
          <t>string</t>
        </is>
      </c>
      <c r="B90" t="inlineStr">
        <is>
          <t>charAt</t>
        </is>
      </c>
      <c r="C90" t="b">
        <v>1</v>
      </c>
      <c r="D90">
        <f>LAMBDA(s,idx,IFERROR(MID(s,idx+1,1),""))</f>
        <v/>
      </c>
    </row>
    <row r="91">
      <c r="A91" t="inlineStr">
        <is>
          <t>string</t>
        </is>
      </c>
      <c r="B91" t="inlineStr">
        <is>
          <t>charCodeAt</t>
        </is>
      </c>
      <c r="C91" t="b">
        <v>1</v>
      </c>
      <c r="D91">
        <f>LAMBDA(s,idx,IFERROR(CODE(MID(s,idx+1,1)),0))</f>
        <v/>
      </c>
    </row>
    <row r="92">
      <c r="A92" t="inlineStr">
        <is>
          <t>string</t>
        </is>
      </c>
      <c r="B92" t="inlineStr">
        <is>
          <t>codePointAt</t>
        </is>
      </c>
      <c r="C92" t="b">
        <v>1</v>
      </c>
      <c r="D92">
        <f>LAMBDA(s,idx,IFERROR(UNICODE(MID(s,idx+1,1)),0))</f>
        <v/>
      </c>
    </row>
    <row r="93">
      <c r="A93" t="inlineStr">
        <is>
          <t>string</t>
        </is>
      </c>
      <c r="B93" t="inlineStr">
        <is>
          <t>startsWith</t>
        </is>
      </c>
      <c r="C93" t="b">
        <v>1</v>
      </c>
      <c r="D93">
        <f>LAMBDA(s,prefix,IF(LEN(prefix)=0,TRUE,LEFT(s,LEN(prefix))=prefix))</f>
        <v/>
      </c>
    </row>
    <row r="94">
      <c r="A94" t="inlineStr">
        <is>
          <t>string</t>
        </is>
      </c>
      <c r="B94" t="inlineStr">
        <is>
          <t>endsWith</t>
        </is>
      </c>
      <c r="C94" t="b">
        <v>1</v>
      </c>
      <c r="D94">
        <f>LAMBDA(s,suffix,IF(LEN(suffix)=0,TRUE,RIGHT(s,LEN(suffix))=suffix))</f>
        <v/>
      </c>
    </row>
    <row r="95">
      <c r="A95" t="inlineStr">
        <is>
          <t>string</t>
        </is>
      </c>
      <c r="B95" t="inlineStr">
        <is>
          <t>includes</t>
        </is>
      </c>
      <c r="C95" t="b">
        <v>1</v>
      </c>
      <c r="D95">
        <f>LAMBDA(s,sub,NOT(ISERROR(FIND(sub,s))) )</f>
        <v/>
      </c>
    </row>
    <row r="96">
      <c r="A96" t="inlineStr">
        <is>
          <t>string</t>
        </is>
      </c>
      <c r="B96" t="inlineStr">
        <is>
          <t>indexOf</t>
        </is>
      </c>
      <c r="C96" t="b">
        <v>1</v>
      </c>
      <c r="D96">
        <f>LAMBDA(s,sub,IFERROR(FIND(sub,s),0))</f>
        <v/>
      </c>
    </row>
    <row r="97">
      <c r="A97" t="inlineStr">
        <is>
          <t>string</t>
        </is>
      </c>
      <c r="B97" t="inlineStr">
        <is>
          <t>lastIndexOf</t>
        </is>
      </c>
      <c r="C97" t="b">
        <v>1</v>
      </c>
      <c r="D97">
        <f>LAMBDA(s,sub,IF(LEN(sub)=0,LEN(s)+1,LET(n,LEN(s)-LEN(sub)+1,IF(n&lt;1,0,MAX(IFERROR(FIND(sub,s,SEQUENCE(n)),0)))))</f>
        <v/>
      </c>
    </row>
    <row r="98">
      <c r="A98" t="inlineStr">
        <is>
          <t>string</t>
        </is>
      </c>
      <c r="B98" t="inlineStr">
        <is>
          <t>replace</t>
        </is>
      </c>
      <c r="C98" t="b">
        <v>1</v>
      </c>
      <c r="D98">
        <f>LAMBDA(s,old,new,SUBSTITUTE(s,old,new,1))</f>
        <v/>
      </c>
    </row>
    <row r="99">
      <c r="A99" t="inlineStr">
        <is>
          <t>string</t>
        </is>
      </c>
      <c r="B99" t="inlineStr">
        <is>
          <t>replaceAll</t>
        </is>
      </c>
      <c r="C99" t="b">
        <v>1</v>
      </c>
      <c r="D99">
        <f>LAMBDA(s,old,new,SUBSTITUTE(s,old,new))</f>
        <v/>
      </c>
    </row>
    <row r="100">
      <c r="A100" t="inlineStr">
        <is>
          <t>string</t>
        </is>
      </c>
      <c r="B100" t="inlineStr">
        <is>
          <t>repeat</t>
        </is>
      </c>
      <c r="C100" t="b">
        <v>1</v>
      </c>
      <c r="D100">
        <f>LAMBDA(s,n,IFERROR(REPT(s,MAX(0,INT(n))),""))</f>
        <v/>
      </c>
    </row>
    <row r="101">
      <c r="A101" t="inlineStr">
        <is>
          <t>string</t>
        </is>
      </c>
      <c r="B101" t="inlineStr">
        <is>
          <t>padStart</t>
        </is>
      </c>
      <c r="C101" t="b">
        <v>1</v>
      </c>
      <c r="D101">
        <f>LAMBDA(s,target,pad,LET(v,(s&amp;""),padStr,IF(pad=""," ",pad),targetLen,MAX(INT(target),0),IF(LEN(v)&gt;=targetLen,v,REPT(padStr,targetLen-LEN(v))+v))</f>
        <v/>
      </c>
    </row>
    <row r="102">
      <c r="A102" t="inlineStr">
        <is>
          <t>string</t>
        </is>
      </c>
      <c r="B102" t="inlineStr">
        <is>
          <t>padEnd</t>
        </is>
      </c>
      <c r="C102" t="b">
        <v>1</v>
      </c>
      <c r="D102">
        <f>LAMBDA(s,target,pad,LET(v,(s&amp;""),padStr,IF(pad=""," ",pad),targetLen,MAX(INT(target),0),IF(LEN(v)&gt;=targetLen,v,v&amp;REPT(padStr,targetLen-LEN(v)))))</f>
        <v/>
      </c>
    </row>
    <row r="103">
      <c r="A103" t="inlineStr">
        <is>
          <t>string</t>
        </is>
      </c>
      <c r="B103" t="inlineStr">
        <is>
          <t>reverse</t>
        </is>
      </c>
      <c r="C103" t="b">
        <v>1</v>
      </c>
      <c r="D103">
        <f>LAMBDA(s,IF(LEN(s)&lt;=1,s,TEXTJOIN("",,MID(s,SEQUENCE(LEN(s),,LEN(s),-1),1)))</f>
        <v/>
      </c>
    </row>
    <row r="104">
      <c r="A104" t="inlineStr">
        <is>
          <t>string</t>
        </is>
      </c>
      <c r="B104" t="inlineStr">
        <is>
          <t>count</t>
        </is>
      </c>
      <c r="C104" t="b">
        <v>1</v>
      </c>
      <c r="D104">
        <f>LAMBDA(s,sub,IF(LEN(sub)=0,0,(LEN(s)-LEN(SUBSTITUTE(s,sub,""))/LEN(sub)))</f>
        <v/>
      </c>
    </row>
    <row r="105">
      <c r="A105" t="inlineStr">
        <is>
          <t>string</t>
        </is>
      </c>
      <c r="B105" t="inlineStr">
        <is>
          <t>first</t>
        </is>
      </c>
      <c r="C105" t="b">
        <v>1</v>
      </c>
      <c r="D105">
        <f>LAMBDA(s,IF(LEN(s)=0,"",LEFT(s,1)))</f>
        <v/>
      </c>
    </row>
    <row r="106">
      <c r="A106" t="inlineStr">
        <is>
          <t>string</t>
        </is>
      </c>
      <c r="B106" t="inlineStr">
        <is>
          <t>last</t>
        </is>
      </c>
      <c r="C106" t="b">
        <v>1</v>
      </c>
      <c r="D106">
        <f>LAMBDA(s,IF(LEN(s)=0,"",RIGHT(s,1)))</f>
        <v/>
      </c>
    </row>
    <row r="107">
      <c r="A107" t="inlineStr">
        <is>
          <t>string</t>
        </is>
      </c>
      <c r="B107" t="inlineStr">
        <is>
          <t>isEmpty</t>
        </is>
      </c>
      <c r="C107" t="b">
        <v>1</v>
      </c>
      <c r="D107">
        <f>LAMBDA(s,LEN(TRIM(s))=0)</f>
        <v/>
      </c>
    </row>
    <row r="108">
      <c r="A108" t="inlineStr">
        <is>
          <t>string</t>
        </is>
      </c>
      <c r="B108" t="inlineStr">
        <is>
          <t>isAlpha</t>
        </is>
      </c>
      <c r="C108" t="b">
        <v>1</v>
      </c>
      <c r="D108">
        <f>LAMBDA(s,LET(_s,s&amp;"",_n,LEN(_s),IF(_n=0,FALSE,AND(MAP(SEQUENCE(_n),LAMBDA(i,LET(_c,CODE(UPPER(MID(_s,i,1))),AND(_c&gt;=65,_c&lt;=90))))))))</f>
        <v/>
      </c>
    </row>
    <row r="109">
      <c r="A109" t="inlineStr">
        <is>
          <t>string</t>
        </is>
      </c>
      <c r="B109" t="inlineStr">
        <is>
          <t>isNumeric</t>
        </is>
      </c>
      <c r="C109" t="b">
        <v>1</v>
      </c>
      <c r="D109">
        <f>LAMBDA(s,IF(LEN(s)=0,FALSE,ISNUMBER(--s)))</f>
        <v/>
      </c>
    </row>
    <row r="110">
      <c r="A110" t="inlineStr">
        <is>
          <t>string</t>
        </is>
      </c>
      <c r="B110" t="inlineStr">
        <is>
          <t>isAlphaNumeric</t>
        </is>
      </c>
      <c r="C110" t="b">
        <v>1</v>
      </c>
      <c r="D110">
        <f>LAMBDA(s,LET(_s,s&amp;"",_n,LEN(_s),IF(_n=0,FALSE,AND(MAP(SEQUENCE(_n),LAMBDA(i,LET(_c,CODE(UPPER(MID(_s,i,1))),OR(AND(_c&gt;=65,_c&lt;=90),AND(_c&gt;=48,_c&lt;=57)))))))))</f>
        <v/>
      </c>
    </row>
    <row r="111">
      <c r="A111" t="inlineStr">
        <is>
          <t>string</t>
        </is>
      </c>
      <c r="B111" t="inlineStr">
        <is>
          <t>equalsIgnoreCase</t>
        </is>
      </c>
      <c r="C111" t="b">
        <v>1</v>
      </c>
      <c r="D111">
        <f>LAMBDA(a,b,LOWER(a)=LOWER(b))</f>
        <v/>
      </c>
    </row>
    <row r="112">
      <c r="A112" t="inlineStr">
        <is>
          <t>string</t>
        </is>
      </c>
      <c r="B112" t="inlineStr">
        <is>
          <t>compare</t>
        </is>
      </c>
      <c r="C112" t="b">
        <v>1</v>
      </c>
      <c r="D112">
        <f>LAMBDA(a,b,IF(a=b,0,IF(a&gt;b,1,-1)))</f>
        <v/>
      </c>
    </row>
    <row r="113">
      <c r="A113" t="inlineStr">
        <is>
          <t>string</t>
        </is>
      </c>
      <c r="B113" t="inlineStr">
        <is>
          <t>compareIgnoreCase</t>
        </is>
      </c>
      <c r="C113" t="b">
        <v>1</v>
      </c>
      <c r="D113">
        <f>LAMBDA(a,b,IF(LOWER(a)=LOWER(b),0,IF(LOWER(a)&gt;LOWER(b),1,-1)))</f>
        <v/>
      </c>
    </row>
    <row r="114">
      <c r="A114" t="inlineStr">
        <is>
          <t>string</t>
        </is>
      </c>
      <c r="B114" t="inlineStr">
        <is>
          <t>center</t>
        </is>
      </c>
      <c r="C114" t="b">
        <v>1</v>
      </c>
      <c r="D114">
        <f>LAMBDA(s,width,pad,LET(v,(s&amp;""),p,IF(pad=""," ",pad),padLen,MAX(0,INT(width-LEN(v))),leftPad,INT(padLen/2),rightPad,padLen-leftPad,TEXTJOIN("",,REPT(p,leftPad),v,REPT(p,rightPad)))</f>
        <v/>
      </c>
    </row>
    <row r="115">
      <c r="A115" t="inlineStr">
        <is>
          <t>string</t>
        </is>
      </c>
      <c r="B115" t="inlineStr">
        <is>
          <t>surround</t>
        </is>
      </c>
      <c r="C115" t="b">
        <v>1</v>
      </c>
      <c r="D115">
        <f>LAMBDA(s,wrap,wrap&amp;s&amp;wrap)</f>
        <v/>
      </c>
    </row>
    <row r="116">
      <c r="A116" t="inlineStr">
        <is>
          <t>string</t>
        </is>
      </c>
      <c r="B116" t="inlineStr">
        <is>
          <t>normalize</t>
        </is>
      </c>
      <c r="C116" t="b">
        <v>1</v>
      </c>
      <c r="D116">
        <f>LAMBDA(s,TRIM(CLEAN(LOWER(s))))</f>
        <v/>
      </c>
    </row>
    <row r="117">
      <c r="A117" t="inlineStr">
        <is>
          <t>string</t>
        </is>
      </c>
      <c r="B117" t="inlineStr">
        <is>
          <t>slugify</t>
        </is>
      </c>
      <c r="C117" t="b">
        <v>1</v>
      </c>
      <c r="D117">
        <f>LAMBDA(s,LOWER(SUBSTITUTE(TRIM(CLEAN(s&amp;""))," ","-")))</f>
        <v/>
      </c>
    </row>
    <row r="118">
      <c r="A118" t="inlineStr">
        <is>
          <t>string</t>
        </is>
      </c>
      <c r="B118" t="inlineStr">
        <is>
          <t>snakeCase</t>
        </is>
      </c>
      <c r="C118" t="b">
        <v>1</v>
      </c>
      <c r="D118">
        <f>LAMBDA(s,LOWER(SUBSTITUTE(SUBSTITUTE(TRIM(CLEAN(s&amp;"")),"-","_")," ","_")))</f>
        <v/>
      </c>
    </row>
    <row r="119">
      <c r="A119" t="inlineStr">
        <is>
          <t>string</t>
        </is>
      </c>
      <c r="B119" t="inlineStr">
        <is>
          <t>camelCase</t>
        </is>
      </c>
      <c r="C119" t="b">
        <v>1</v>
      </c>
      <c r="D119">
        <f>LAMBDA(s,LOWER(SUBSTITUTE(PROPER(SUBSTITUTE(TRIM(CLEAN(s)),"_",""))," ","")))</f>
        <v/>
      </c>
    </row>
    <row r="120">
      <c r="A120" t="inlineStr">
        <is>
          <t>string</t>
        </is>
      </c>
      <c r="B120" t="inlineStr">
        <is>
          <t>padBoth</t>
        </is>
      </c>
      <c r="C120" t="b">
        <v>1</v>
      </c>
      <c r="D120">
        <f>LAMBDA(s,target,pad,LET(v,(s&amp;""),p,IF(pad=""," ",pad),need,MAX(0,INT(target-LEN(v))),leftPad,ROUNDUP(need/2,0),rightPad,need-leftPad,TEXTJOIN("",,REPT(p,leftPad),v,REPT(p,rightPad)))</f>
        <v/>
      </c>
    </row>
    <row r="121">
      <c r="A121" t="inlineStr">
        <is>
          <t>string</t>
        </is>
      </c>
      <c r="B121" t="inlineStr">
        <is>
          <t>hasPrefix</t>
        </is>
      </c>
      <c r="C121" t="b">
        <v>1</v>
      </c>
      <c r="D121">
        <f>LAMBDA(s,prefix,IF(LEN(prefix)=0,FALSE,LEFT(s,LEN(prefix))=prefix))</f>
        <v/>
      </c>
    </row>
    <row r="122">
      <c r="A122" t="inlineStr">
        <is>
          <t>string</t>
        </is>
      </c>
      <c r="B122" t="inlineStr">
        <is>
          <t>hasSuffix</t>
        </is>
      </c>
      <c r="C122" t="b">
        <v>1</v>
      </c>
      <c r="D122">
        <f>LAMBDA(s,suffix,IF(LEN(suffix)=0,FALSE,RIGHT(s,LEN(suffix))=suffix))</f>
        <v/>
      </c>
    </row>
    <row r="123">
      <c r="A123" t="inlineStr">
        <is>
          <t>date</t>
        </is>
      </c>
      <c r="B123" t="inlineStr">
        <is>
          <t>serial</t>
        </is>
      </c>
      <c r="C123" t="b">
        <v>1</v>
      </c>
      <c r="D123">
        <f>LAMBDA(y,m,d,DATE(y,m,d))</f>
        <v/>
      </c>
    </row>
    <row r="124">
      <c r="A124" t="inlineStr">
        <is>
          <t>date</t>
        </is>
      </c>
      <c r="B124" t="inlineStr">
        <is>
          <t>year</t>
        </is>
      </c>
      <c r="C124" t="b">
        <v>1</v>
      </c>
      <c r="D124">
        <f>LAMBDA(v,YEAR(v))</f>
        <v/>
      </c>
    </row>
    <row r="125">
      <c r="A125" t="inlineStr">
        <is>
          <t>date</t>
        </is>
      </c>
      <c r="B125" t="inlineStr">
        <is>
          <t>month</t>
        </is>
      </c>
      <c r="C125" t="b">
        <v>1</v>
      </c>
      <c r="D125">
        <f>LAMBDA(v,MONTH(v))</f>
        <v/>
      </c>
    </row>
    <row r="126">
      <c r="A126" t="inlineStr">
        <is>
          <t>date</t>
        </is>
      </c>
      <c r="B126" t="inlineStr">
        <is>
          <t>day</t>
        </is>
      </c>
      <c r="C126" t="b">
        <v>1</v>
      </c>
      <c r="D126">
        <f>LAMBDA(v,DAY(v))</f>
        <v/>
      </c>
    </row>
    <row r="127">
      <c r="A127" t="inlineStr">
        <is>
          <t>date</t>
        </is>
      </c>
      <c r="B127" t="inlineStr">
        <is>
          <t>weekday</t>
        </is>
      </c>
      <c r="C127" t="b">
        <v>1</v>
      </c>
      <c r="D127">
        <f>LAMBDA(v,WEEKDAY(v,2))</f>
        <v/>
      </c>
    </row>
    <row r="128">
      <c r="A128" t="inlineStr">
        <is>
          <t>date</t>
        </is>
      </c>
      <c r="B128" t="inlineStr">
        <is>
          <t>hour</t>
        </is>
      </c>
      <c r="C128" t="b">
        <v>1</v>
      </c>
      <c r="D128">
        <f>LAMBDA(v,HOUR(v))</f>
        <v/>
      </c>
    </row>
    <row r="129">
      <c r="A129" t="inlineStr">
        <is>
          <t>date</t>
        </is>
      </c>
      <c r="B129" t="inlineStr">
        <is>
          <t>minute</t>
        </is>
      </c>
      <c r="C129" t="b">
        <v>1</v>
      </c>
      <c r="D129">
        <f>LAMBDA(v,MINUTE(v))</f>
        <v/>
      </c>
    </row>
    <row r="130">
      <c r="A130" t="inlineStr">
        <is>
          <t>date</t>
        </is>
      </c>
      <c r="B130" t="inlineStr">
        <is>
          <t>second</t>
        </is>
      </c>
      <c r="C130" t="b">
        <v>1</v>
      </c>
      <c r="D130">
        <f>LAMBDA(v,SECOND(v))</f>
        <v/>
      </c>
    </row>
    <row r="131">
      <c r="A131" t="inlineStr">
        <is>
          <t>date</t>
        </is>
      </c>
      <c r="B131" t="inlineStr">
        <is>
          <t>addDays</t>
        </is>
      </c>
      <c r="C131" t="b">
        <v>1</v>
      </c>
      <c r="D131">
        <f>LAMBDA(v,days,v+days)</f>
        <v/>
      </c>
    </row>
    <row r="132">
      <c r="A132" t="inlineStr">
        <is>
          <t>date</t>
        </is>
      </c>
      <c r="B132" t="inlineStr">
        <is>
          <t>addHours</t>
        </is>
      </c>
      <c r="C132" t="b">
        <v>1</v>
      </c>
      <c r="D132">
        <f>LAMBDA(v,hours,v+hours/24)</f>
        <v/>
      </c>
    </row>
    <row r="133">
      <c r="A133" t="inlineStr">
        <is>
          <t>date</t>
        </is>
      </c>
      <c r="B133" t="inlineStr">
        <is>
          <t>addMinutes</t>
        </is>
      </c>
      <c r="C133" t="b">
        <v>1</v>
      </c>
      <c r="D133">
        <f>LAMBDA(v,mins,v+mins/(24*60))</f>
        <v/>
      </c>
    </row>
    <row r="134">
      <c r="A134" t="inlineStr">
        <is>
          <t>date</t>
        </is>
      </c>
      <c r="B134" t="inlineStr">
        <is>
          <t>addSeconds</t>
        </is>
      </c>
      <c r="C134" t="b">
        <v>1</v>
      </c>
      <c r="D134">
        <f>LAMBDA(v,secs,v+secs/(24*60*60))</f>
        <v/>
      </c>
    </row>
    <row r="135">
      <c r="A135" t="inlineStr">
        <is>
          <t>date</t>
        </is>
      </c>
      <c r="B135" t="inlineStr">
        <is>
          <t>addMonths</t>
        </is>
      </c>
      <c r="C135" t="b">
        <v>1</v>
      </c>
      <c r="D135">
        <f>LAMBDA(v,months,EDATE(v,months))</f>
        <v/>
      </c>
    </row>
    <row r="136">
      <c r="A136" t="inlineStr">
        <is>
          <t>date</t>
        </is>
      </c>
      <c r="B136" t="inlineStr">
        <is>
          <t>addYears</t>
        </is>
      </c>
      <c r="C136" t="b">
        <v>1</v>
      </c>
      <c r="D136">
        <f>LAMBDA(v,years,EDATE(v,12*years))</f>
        <v/>
      </c>
    </row>
    <row r="137">
      <c r="A137" t="inlineStr">
        <is>
          <t>date</t>
        </is>
      </c>
      <c r="B137" t="inlineStr">
        <is>
          <t>diffDays</t>
        </is>
      </c>
      <c r="C137" t="b">
        <v>1</v>
      </c>
      <c r="D137">
        <f>LAMBDA(a,b,b-a)</f>
        <v/>
      </c>
    </row>
    <row r="138">
      <c r="A138" t="inlineStr">
        <is>
          <t>date</t>
        </is>
      </c>
      <c r="B138" t="inlineStr">
        <is>
          <t>diffHours</t>
        </is>
      </c>
      <c r="C138" t="b">
        <v>1</v>
      </c>
      <c r="D138">
        <f>LAMBDA(a,b,(b-a)*24)</f>
        <v/>
      </c>
    </row>
    <row r="139">
      <c r="A139" t="inlineStr">
        <is>
          <t>date</t>
        </is>
      </c>
      <c r="B139" t="inlineStr">
        <is>
          <t>diffMinutes</t>
        </is>
      </c>
      <c r="C139" t="b">
        <v>1</v>
      </c>
      <c r="D139">
        <f>LAMBDA(a,b,(b-a)*24*60)</f>
        <v/>
      </c>
    </row>
    <row r="140">
      <c r="A140" t="inlineStr">
        <is>
          <t>date</t>
        </is>
      </c>
      <c r="B140" t="inlineStr">
        <is>
          <t>diffSeconds</t>
        </is>
      </c>
      <c r="C140" t="b">
        <v>1</v>
      </c>
      <c r="D140">
        <f>LAMBDA(a,b,(b-a)*24*60*60)</f>
        <v/>
      </c>
    </row>
    <row r="141">
      <c r="A141" t="inlineStr">
        <is>
          <t>date</t>
        </is>
      </c>
      <c r="B141" t="inlineStr">
        <is>
          <t>startOfDay</t>
        </is>
      </c>
      <c r="C141" t="b">
        <v>1</v>
      </c>
      <c r="D141">
        <f>LAMBDA(v,INT(v))</f>
        <v/>
      </c>
    </row>
    <row r="142">
      <c r="A142" t="inlineStr">
        <is>
          <t>date</t>
        </is>
      </c>
      <c r="B142" t="inlineStr">
        <is>
          <t>endOfDay</t>
        </is>
      </c>
      <c r="C142" t="b">
        <v>1</v>
      </c>
      <c r="D142">
        <f>LAMBDA(v,INT(v)+1)</f>
        <v/>
      </c>
    </row>
    <row r="143">
      <c r="A143" t="inlineStr">
        <is>
          <t>date</t>
        </is>
      </c>
      <c r="B143" t="inlineStr">
        <is>
          <t>toUnix</t>
        </is>
      </c>
      <c r="C143" t="b">
        <v>1</v>
      </c>
      <c r="D143">
        <f>LAMBDA(v,(v-DATE(1970,1,1))*86400)</f>
        <v/>
      </c>
    </row>
    <row r="144">
      <c r="A144" t="inlineStr">
        <is>
          <t>date</t>
        </is>
      </c>
      <c r="B144" t="inlineStr">
        <is>
          <t>fromUnix</t>
        </is>
      </c>
      <c r="C144" t="b">
        <v>1</v>
      </c>
      <c r="D144">
        <f>LAMBDA(ts,DATE(1970,1,1)+ts/(24*60*60))</f>
        <v/>
      </c>
    </row>
    <row r="145">
      <c r="A145" t="inlineStr">
        <is>
          <t>date</t>
        </is>
      </c>
      <c r="B145" t="inlineStr">
        <is>
          <t>isLeapYear</t>
        </is>
      </c>
      <c r="C145" t="b">
        <v>1</v>
      </c>
      <c r="D145">
        <f>LAMBDA(y,OR(AND(MOD(y,4)=0,MOD(y,100)&lt;&gt;0),MOD(y,400)=0))</f>
        <v/>
      </c>
    </row>
    <row r="146">
      <c r="A146" t="inlineStr">
        <is>
          <t>date</t>
        </is>
      </c>
      <c r="B146" t="inlineStr">
        <is>
          <t>daysInMonth</t>
        </is>
      </c>
      <c r="C146" t="b">
        <v>1</v>
      </c>
      <c r="D146">
        <f>LAMBDA(y,m,DAY(EOMONTH(DATE(y,m,1),0)))</f>
        <v/>
      </c>
    </row>
    <row r="147">
      <c r="A147" t="inlineStr">
        <is>
          <t>date</t>
        </is>
      </c>
      <c r="B147" t="inlineStr">
        <is>
          <t>isWeekend</t>
        </is>
      </c>
      <c r="C147" t="b">
        <v>1</v>
      </c>
      <c r="D147">
        <f>LAMBDA(v,OR(WEEKDAY(v,2)&gt;=6))</f>
        <v/>
      </c>
    </row>
    <row r="148">
      <c r="A148" t="inlineStr">
        <is>
          <t>date</t>
        </is>
      </c>
      <c r="B148" t="inlineStr">
        <is>
          <t>isWeekday</t>
        </is>
      </c>
      <c r="C148" t="b">
        <v>1</v>
      </c>
      <c r="D148">
        <f>LAMBDA(v,NOT(OR(WEEKDAY(v,2)&gt;=6)))</f>
        <v/>
      </c>
    </row>
    <row r="149">
      <c r="A149" t="inlineStr">
        <is>
          <t>date</t>
        </is>
      </c>
      <c r="B149" t="inlineStr">
        <is>
          <t>isoWeek</t>
        </is>
      </c>
      <c r="C149" t="b">
        <v>1</v>
      </c>
      <c r="D149">
        <f>LAMBDA(v,ISOWEEKNUM(v))</f>
        <v/>
      </c>
    </row>
    <row r="150">
      <c r="A150" t="inlineStr">
        <is>
          <t>date</t>
        </is>
      </c>
      <c r="B150" t="inlineStr">
        <is>
          <t>toISOString</t>
        </is>
      </c>
      <c r="C150" t="b">
        <v>1</v>
      </c>
      <c r="D150">
        <f>LAMBDA(v,TEXT(v,"yyyy-mm-ddTHH:MM:SS"))</f>
        <v/>
      </c>
    </row>
    <row r="151">
      <c r="A151" t="inlineStr">
        <is>
          <t>date</t>
        </is>
      </c>
      <c r="B151" t="inlineStr">
        <is>
          <t>toDateString</t>
        </is>
      </c>
      <c r="C151" t="b">
        <v>1</v>
      </c>
      <c r="D151">
        <f>LAMBDA(v,TEXT(v,"yyyy-mm-dd"))</f>
        <v/>
      </c>
    </row>
    <row r="152">
      <c r="A152" t="inlineStr">
        <is>
          <t>date</t>
        </is>
      </c>
      <c r="B152" t="inlineStr">
        <is>
          <t>toTimeString</t>
        </is>
      </c>
      <c r="C152" t="b">
        <v>1</v>
      </c>
      <c r="D152">
        <f>LAMBDA(v,TEXT(v,"HH:MM:SS"))</f>
        <v/>
      </c>
    </row>
    <row r="153">
      <c r="A153" t="inlineStr">
        <is>
          <t>date</t>
        </is>
      </c>
      <c r="B153" t="inlineStr">
        <is>
          <t>between</t>
        </is>
      </c>
      <c r="C153" t="b">
        <v>1</v>
      </c>
      <c r="D153">
        <f>LAMBDA(v,start,end,AND(v&gt;=start,v&lt;=end))</f>
        <v/>
      </c>
    </row>
    <row r="154">
      <c r="A154" t="inlineStr">
        <is>
          <t>promise</t>
        </is>
      </c>
      <c r="B154" t="inlineStr">
        <is>
          <t>resolve</t>
        </is>
      </c>
      <c r="C154" t="b">
        <v>1</v>
      </c>
      <c r="D154">
        <f>LAMBDA(v,"PROMISE|RESOLVED|"&amp;(v&amp;""))</f>
        <v/>
      </c>
      <c r="E154" t="n">
        <v>1</v>
      </c>
      <c r="F154" t="n">
        <v>1</v>
      </c>
      <c r="G154" t="inlineStr">
        <is>
          <t>any</t>
        </is>
      </c>
    </row>
    <row r="155">
      <c r="A155" t="inlineStr">
        <is>
          <t>promise</t>
        </is>
      </c>
      <c r="B155" t="inlineStr">
        <is>
          <t>reject</t>
        </is>
      </c>
      <c r="C155" t="b">
        <v>1</v>
      </c>
      <c r="D155">
        <f>LAMBDA(reason,"#ERR: async rejected")</f>
        <v/>
      </c>
      <c r="E155" t="n">
        <v>1</v>
      </c>
      <c r="F155" t="n">
        <v>1</v>
      </c>
      <c r="G155" t="inlineStr">
        <is>
          <t>any</t>
        </is>
      </c>
    </row>
    <row r="156">
      <c r="A156" t="inlineStr">
        <is>
          <t>promise</t>
        </is>
      </c>
      <c r="B156" t="inlineStr">
        <is>
          <t>state</t>
        </is>
      </c>
      <c r="C156" t="b">
        <v>1</v>
      </c>
      <c r="D156">
        <f>LAMBDA(p,IFERROR(INDEX(TEXTSPLIT(p,"|"),2),"REJECTED"))</f>
        <v/>
      </c>
      <c r="E156" t="n">
        <v>1</v>
      </c>
      <c r="F156" t="n">
        <v>1</v>
      </c>
      <c r="G156" t="inlineStr">
        <is>
          <t>string</t>
        </is>
      </c>
    </row>
    <row r="157">
      <c r="A157" t="inlineStr">
        <is>
          <t>promise</t>
        </is>
      </c>
      <c r="B157" t="inlineStr">
        <is>
          <t>value</t>
        </is>
      </c>
      <c r="C157" t="b">
        <v>1</v>
      </c>
      <c r="D157">
        <f>LAMBDA(p,IFERROR(INDEX(TEXTSPLIT(p,"|"),3),"#ERR: async rejected"))</f>
        <v/>
      </c>
      <c r="E157" t="n">
        <v>1</v>
      </c>
      <c r="F157" t="n">
        <v>1</v>
      </c>
      <c r="G157" t="inlineStr">
        <is>
          <t>string</t>
        </is>
      </c>
    </row>
    <row r="158">
      <c r="A158" t="inlineStr">
        <is>
          <t>fs</t>
        </is>
      </c>
      <c r="B158" t="inlineStr">
        <is>
          <t>readFile</t>
        </is>
      </c>
      <c r="C158" t="b">
        <v>1</v>
      </c>
      <c r="D158">
        <f>LAMBDA(p,LET(_row,IFERROR(XMATCH(p,runtime_io!$C$2:$C$100,0),0),IF(_row=0,"#ERR: io not found",INDEX(runtime_io!$D$2:$D$100,_row))))</f>
        <v/>
      </c>
      <c r="E158" t="n">
        <v>1</v>
      </c>
      <c r="F158" t="n">
        <v>1</v>
      </c>
      <c r="G158" t="inlineStr">
        <is>
          <t>string</t>
        </is>
      </c>
    </row>
    <row r="159">
      <c r="A159" t="inlineStr">
        <is>
          <t>process</t>
        </is>
      </c>
      <c r="B159" t="inlineStr">
        <is>
          <t>cwd</t>
        </is>
      </c>
      <c r="C159" t="b">
        <v>1</v>
      </c>
      <c r="D159">
        <f>LAMBDA([a],INDEX(runtime_io!$D$2:$D$100,XMATCH("cwd",runtime_io!$C$2:$C$100,0)))</f>
        <v/>
      </c>
      <c r="E159" t="n">
        <v>0</v>
      </c>
      <c r="F159" t="n">
        <v>0</v>
      </c>
    </row>
    <row r="160">
      <c r="A160" t="inlineStr">
        <is>
          <t>network</t>
        </is>
      </c>
      <c r="B160" t="inlineStr">
        <is>
          <t>fetch</t>
        </is>
      </c>
      <c r="C160" t="b">
        <v>1</v>
      </c>
      <c r="D160">
        <f>LAMBDA(url,LET(_row,IFERROR(XMATCH(url,runtime_io!$C$2:$C$100,0),0),IF(_row=0,"#ERR: io not found",INDEX(runtime_io!$D$2:$D$100,_row))))</f>
        <v/>
      </c>
      <c r="E160" t="n">
        <v>1</v>
      </c>
      <c r="F160" t="n">
        <v>1</v>
      </c>
      <c r="G160" t="inlineStr">
        <is>
          <t>string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module_count</t>
        </is>
      </c>
      <c r="B2">
        <f>COUNTA(runtime_modules!A2:A100)</f>
        <v/>
      </c>
    </row>
    <row r="3">
      <c r="A3" t="inlineStr">
        <is>
          <t>status</t>
        </is>
      </c>
      <c r="B3" t="inlineStr">
        <is>
          <t>interpreter_entrypoint_in_xlsx_typed_e2e</t>
        </is>
      </c>
    </row>
    <row r="4">
      <c r="A4" t="inlineStr">
        <is>
          <t>runtime_call</t>
        </is>
      </c>
      <c r="B4">
        <f>LAMBDA(module,function,[a1],[a2],[a3],[a4],[a5],[a6],[a7],[a8],[n],LET(_key,module&amp;"|"&amp;function,_col,functions!$A$2:$A$250&amp;"|"&amp;functions!$B$2:$B$250,_row,IFERROR(XMATCH(_key,_col,0),0),_fn,IF(_row=0,NA(),INDEX(functions!$D$2:$D$250,_row)),_min,IFERROR(--INDEX(functions!$E$2:$E$250,_row),0),_maxRaw,IF(_row=0,"",INDEX(functions!$F$2:$F$250,_row)),_max,IF(_maxRaw="",-1,--_maxRaw),_types,IF(_row=0,"",IFERROR(INDEX(functions!$G$2:$G$250,_row),"")),_args,HSTACK(a1,a2,a3,a4,a5,a6,a7,a8),_spec,IF(_types="",{},TEXTSPLIT(_types,",")),_passArity,IF(_row=0,TRUE(),IF(AND(_min&lt;=n,OR(_max&lt;0,n&lt;=_max)),TRUE(),FALSE())),_passType,IF(OR(_row=0,n=0,_types=""),TRUE(),IFERROR(AND(MAP(SEQUENCE(n),LAMBDA(i,LET(_s,TRIM(INDEX(_spec,i)),_a,INDEX(_args,i),IF(_s="",TRUE(),IF(_s="any",TRUE(),IF(_s="number",ISNUMBER(_a),IF(_s="string",ISTEXT(_a),IF(_s="boolean",OR(_a=TRUE(),_a=FALSE()),TRUE())))))))),FALSE())),_argErr,IF(n=0,"",IFERROR(INDEX(FILTER(_args,MAP(_args,LAMBDA(x,LEFT((x&amp;""),5)="#ERR:"))),1),"")),_call,IF(n=0,_fn(),IF(n=1,_fn(a1),IF(n=2,_fn(a1,a2),IF(n=3,_fn(a1,a2,a3),IF(n=4,_fn(a1,a2,a3,a4),IF(n=5,_fn(a1,a2,a3,a4,a5),IF(n=6,_fn(a1,a2,a3,a4,a5,a6),IF(n=7,_fn(a1,a2,a3,a4,a5,a6,a7),IF(n=8,_fn(a1,a2,a3,a4,a5,a6,a7,a8),_fn())))))))),IF(_argErr&lt;&gt;"",B12(_argErr),IF(_row=0,B13("unknown function","No such function: "&amp;module&amp;"."&amp;function),IF(NOT(_passArity),B13("invalid arity","Expected "&amp;_min&amp;".."&amp;_max&amp;" arguments, got "&amp;n),IF(NOT(_passType),B13("invalid arg type","Type check failed for "&amp;module&amp;"."&amp;function),B12(_call)))))))</f>
        <v/>
      </c>
    </row>
    <row r="5">
      <c r="A5" t="inlineStr">
        <is>
          <t>runtime_eval</t>
        </is>
      </c>
      <c r="B5">
        <f>B9(A5,0)</f>
        <v/>
      </c>
    </row>
    <row r="6">
      <c r="A6" t="inlineStr">
        <is>
          <t>runtime_plan_sheet</t>
        </is>
      </c>
      <c r="B6" t="inlineStr">
        <is>
          <t>runtime_plan</t>
        </is>
      </c>
    </row>
    <row r="7">
      <c r="A7" t="inlineStr">
        <is>
          <t>runtime_parser</t>
        </is>
      </c>
      <c r="B7">
        <f>LAMBDA(expr,[depth],LET(
 _src,TRIM(expr),
 _depth,IF(depth="",0,depth),
 _len,LEN(_src),
 _seq,IF(_len=0,{},SEQUENCE(_len)),
 _chars,IF(_len=0,"",MID(_src,_seq,1)),
 _esc,IF(_len=0,{},SCAN(0,_seq,LAMBDA(a,i,LET(_ch,MID(_src,i,1),IF(a=1,0,IF(_ch=CHAR(92),1,0))))),
 _quote,IF(_len=0,{},SCAN(0,_seq,LAMBDA(a,i,LET(_ch,MID(_src,i,1),_e,INDEX(_esc,i),IF(_e,a,IF(_ch=CHAR(34),1-a,a))))),
 _badEscape,IF(_len=0,FALSE,INDEX(_esc,_len)=1),
 _level,IF(_len=0,{},SCAN(0,_seq,LAMBDA(a,i,LET(_ch,MID(_src,i,1),_e,INDEX(_esc,i),_q,INDEX(_quote,i),IF(_q,a,IF(_e,a,IF(_ch="(",a+1,IF(_ch=")",a-1,a))))))),
 _open,IFERROR(FIND("(",_src),0),
 _close,IF(_open=0,0,IFERROR(MIN(FILTER(_seq,(_chars=")")*(_level=0)*(_seq&gt;_open)),0)),
 IF(
  OR(_depth&gt;64,_len=0,_badEscape,_open=0,_close=0,INDEX(_level,_len)&lt;&gt;0,INDEX(_quote,_len)&lt;&gt;0),
  IF(_depth&gt;64,"#ERR: max depth",HSTACK("#ERR","#ERR: bad parse",0,"","","","","","","","")),
  LET(
   _head,LEFT(_src,_open-1),
   _dot,IFERROR(FIND(".",_head),0),
   IF(_dot=0,HSTACK("#ERR","#ERR: bad parse",0,"","","","","","","",""),
    LET(
     _module,LEFT(_head,_dot-1),
     _fnName,MID(_head,_dot+1,LEN(_head)-_dot),
     _body,TRIM(MID(_src,_open+1,_close-_open-1)),
     _parts,IF(_body="",{},IFERROR(B10(_body),{})),
     _vals,IFERROR(MAP(_parts,
      LAMBDA(v,
       LET(
        _v,TRIM(v),
        IF(_v="",,
         IF(
           AND(LEFT(_v,1)=CHAR(34),RIGHT(_v,1)=CHAR(34),LEN(_v)&gt;=2),
           SUBSTITUTE(SUBSTITUTE(MID(_v,2,LEN(_v)-2),CHAR(92)&amp;CHAR(34),CHAR(34)),CHAR(92)&amp;CHAR(92),CHAR(92)),
           IFERROR(IFERROR(--_v,
             IF(LOWER(_v)="true",TRUE(),IF(LOWER(_v)="false",FALSE(),
              LET(
               _dotArg,IFERROR(FIND(".",_v),0),
              _openArg,IFERROR(FIND("(",_v),0),
              _closeArg,IFERROR(FIND(")",_v,_openArg+1),0),
              IF(AND(_dotArg&gt;0,_openArg&gt;_dotArg,_closeArg=LEN(_v)),B14(B9(_v,_depth+1)),_v)
             ))
            )
        ))
      )),{}),
     _n,IF(_body="",0,COUNTA(_vals)),
     _a1,IF(_n&gt;=1,INDEX(_vals,1),),
     _a2,IF(_n&gt;=2,INDEX(_vals,2),),
     _a3,IF(_n&gt;=3,INDEX(_vals,3),),
     _a4,IF(_n&gt;=4,INDEX(_vals,4),),
     _a5,IF(_n&gt;=5,INDEX(_vals,5),),
     _a6,IF(_n&gt;=6,INDEX(_vals,6),),
     _a7,IF(_n&gt;=7,INDEX(_vals,7),),
     _a8,IF(_n&gt;=8,INDEX(_vals,8),),
     HSTACK(_module,_fnName,_n,_a1,_a2,_a3,_a4,_a5,_a6,_a7,_a8)
    )
   )
  )
)
))</f>
        <v/>
      </c>
    </row>
    <row r="8">
      <c r="A8" t="inlineStr">
        <is>
          <t>runtime_dispatch</t>
        </is>
      </c>
      <c r="B8">
        <f>LAMBDA(parsed,[depth],LET(_module,INDEX(parsed,1),_fnName,INDEX(parsed,2),_n,INDEX(parsed,3),_a1,INDEX(parsed,4),_a2,INDEX(parsed,5),_a3,INDEX(parsed,6),_a4,INDEX(parsed,7),_a5,INDEX(parsed,8),_a6,INDEX(parsed,9),_a7,INDEX(parsed,10),_a8,INDEX(parsed,11),IF(_module="#ERR",B13("bad parse"),B4(_module,_fnName,IF(_n&gt;=1,_a1,""),IF(_n&gt;=2,_a2,""),IF(_n&gt;=3,_a3,""),IF(_n&gt;=4,_a4,""),IF(_n&gt;=5,_a5,""),IF(_n&gt;=6,_a6,""),IF(_n&gt;=7,_a7,""),IF(_n&gt;=8,_a8,""),_n))))</f>
        <v/>
      </c>
    </row>
    <row r="9">
      <c r="A9" t="inlineStr">
        <is>
          <t>runtime_eval_v2</t>
        </is>
      </c>
      <c r="B9">
        <f>LAMBDA(expr,[depth],LET(_d,IF(depth="",0,depth),_p,B7(expr,_d),IF(INDEX(_p,1)="#ERR",B13(SUBSTITUTE(INDEX(_p,2),"#ERR: ","")),B8(_p,_d))))</f>
        <v/>
      </c>
    </row>
    <row r="10">
      <c r="A10" t="inlineStr">
        <is>
          <t>runtime_split_args</t>
        </is>
      </c>
      <c r="B10">
        <f>LAMBDA(body,LET(_body,TRIM(body),_n,LEN(_body),IF(_n=0,{},LET(_seq,SEQUENCE(_n),_chars,MID(_body,_seq,1),_esc,SCAN(0,_seq,LAMBDA(a,i,LET(_ch,INDEX(_chars,i),IF(a=1,0,IF(_ch=CHAR(92),1,0)))),_quote,SCAN(0,_seq,LAMBDA(a,i,LET(_ch,INDEX(_chars,i),_e,INDEX(_esc,i),IF(_e,a,IF(_ch=CHAR(34),1-a,a)))),_badEscape,IF(_n=0,FALSE,INDEX(_esc,_n)=1),IF(_badEscape,{"#ERR","#ERR: bad parse"},LET(_depth,SCAN(0,_seq,LAMBDA(a,i,LET(_ch,INDEX(_chars,i),_e,INDEX(_esc,i),_q,INDEX(_quote,i),IF(_q,a,IF(_e,a,IF(_ch="(",a+1,IF(_ch=")",a-1,a)))))),_is_sep,(_chars=",")*(_depth=0)*(_quote=0),_marked,TEXTJOIN("",,MAP(_seq,LAMBDA(i,IF(INDEX(_is_sep,i),CHAR(31),MID(_body,i,1)))),_parts,MAP(TEXTSPLIT(_marked,CHAR(31),,,TRUE),LAMBDA(p,TRIM(p))),FILTER(_parts,_parts&lt;&gt;"")))))</f>
        <v/>
      </c>
    </row>
    <row r="11">
      <c r="A11" t="inlineStr">
        <is>
          <t>runtime_typeof</t>
        </is>
      </c>
      <c r="B11">
        <f>LAMBDA(v,LET(_s,(v&amp;""),IF(LEFT(_s,5)="#ERR:","error",IF(ISNUMBER(v),"number",IF(OR(_s="TRUE",_s="FALSE"),"boolean",IF(_s="#NULL","null","string"))))))</f>
        <v/>
      </c>
    </row>
    <row r="12">
      <c r="A12" t="inlineStr">
        <is>
          <t>runtime_wrap</t>
        </is>
      </c>
      <c r="B12">
        <f>LAMBDA(v,LET(_t,B11(v),_s,(v&amp;""),SWITCH(_t,"number","N|"&amp;_s,"boolean","B|"&amp;_s,"null","Z|","error","E|"&amp;_s&amp;"|"&amp;_s,"S|"&amp;SUBSTITUTE(_s,"|","||"))))</f>
        <v/>
      </c>
    </row>
    <row r="13">
      <c r="A13" t="inlineStr">
        <is>
          <t>runtime_error</t>
        </is>
      </c>
      <c r="B13">
        <f>LAMBDA(code,[message],LET(_c,IF(LEFT(code,5)="#ERR:",code,"#ERR: "&amp;code),"E|"&amp;_c&amp;"|"&amp;IF(ISOMITTED(message),_c,message)))</f>
        <v/>
      </c>
    </row>
    <row r="14">
      <c r="A14" t="inlineStr">
        <is>
          <t>runtime_unwrap</t>
        </is>
      </c>
      <c r="B14">
        <f>LAMBDA(env,LET(_s,(env&amp;""),_tag,LEFT(_s,1),_body,MID(_s,3,LEN(_s)-2),SWITCH(_tag,"N",--_body,"B",_body="TRUE","Z","","E",IFERROR(TEXTBEFORE(_body,"|"),_body),SUBSTITUTE(_body,"||","|"))))</f>
        <v/>
      </c>
    </row>
    <row r="15">
      <c r="A15" t="inlineStr">
        <is>
          <t>runtime_value_type</t>
        </is>
      </c>
      <c r="B15">
        <f>LAMBDA(env,SWITCH(LEFT((env&amp;""),1),"N","number","B","boolean","Z","null","E","error","S","string","unknown"))</f>
        <v/>
      </c>
    </row>
    <row r="16">
      <c r="A16" t="inlineStr">
        <is>
          <t>runtime_error_code</t>
        </is>
      </c>
      <c r="B16">
        <f>LAMBDA(env,LET(_s,(env&amp;""),IF(LEFT(_s,1)&lt;&gt;"E","",IFERROR(TEXTBEFORE(MID(_s,3,999),"|"),MID(_s,3,999)))))</f>
        <v/>
      </c>
    </row>
    <row r="17">
      <c r="A17" t="inlineStr">
        <is>
          <t>runtime_is_error</t>
        </is>
      </c>
      <c r="B17">
        <f>LAMBDA(env,LEFT((env&amp;""),1)="E")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details</t>
        </is>
      </c>
    </row>
    <row r="2">
      <c r="A2" t="inlineStr">
        <is>
          <t>1</t>
        </is>
      </c>
      <c r="B2" t="inlineStr">
        <is>
          <t>In-workbook parser for function-call expressions</t>
        </is>
      </c>
      <c r="C2" t="inlineStr">
        <is>
          <t>DONE</t>
        </is>
      </c>
      <c r="D2" t="inlineStr">
        <is>
          <t>Implemented nested-aware parser: depth-tracking matching paren, top-level arg split, nested call token evaluation.</t>
        </is>
      </c>
    </row>
    <row r="3">
      <c r="A3" t="inlineStr">
        <is>
          <t>1</t>
        </is>
      </c>
      <c r="B3" t="inlineStr">
        <is>
          <t>Runtime dispatch</t>
        </is>
      </c>
      <c r="C3" t="inlineStr">
        <is>
          <t>DONE</t>
        </is>
      </c>
      <c r="D3" t="inlineStr">
        <is>
          <t>Added arity/type validation path via functions metadata (min/max arity + basic type checks) and runtime_call error codes.</t>
        </is>
      </c>
    </row>
    <row r="4">
      <c r="A4" t="inlineStr">
        <is>
          <t>2</t>
        </is>
      </c>
      <c r="B4" t="inlineStr">
        <is>
          <t>Call stack / frame model</t>
        </is>
      </c>
      <c r="C4" t="inlineStr">
        <is>
          <t>DONE</t>
        </is>
      </c>
      <c r="D4" t="inlineStr">
        <is>
          <t>runtime_frames provides explicit workbook-native frame ledger with depth/budget/status over each e2e case; recursive nested calls execute through runtime_eval.</t>
        </is>
      </c>
    </row>
    <row r="5">
      <c r="A5" t="inlineStr">
        <is>
          <t>2</t>
        </is>
      </c>
      <c r="B5" t="inlineStr">
        <is>
          <t>Memory/context model</t>
        </is>
      </c>
      <c r="C5" t="inlineStr">
        <is>
          <t>DONE</t>
        </is>
      </c>
      <c r="D5" t="inlineStr">
        <is>
          <t>runtime_values plus meta!B11:B17 implement tagged typed value envelopes, unwrap/type/error helpers, and per-test value audit.</t>
        </is>
      </c>
    </row>
    <row r="6">
      <c r="A6" t="inlineStr">
        <is>
          <t>2</t>
        </is>
      </c>
      <c r="B6" t="inlineStr">
        <is>
          <t>Error semantics</t>
        </is>
      </c>
      <c r="C6" t="inlineStr">
        <is>
          <t>DONE</t>
        </is>
      </c>
      <c r="D6" t="inlineStr">
        <is>
          <t>runtime_errors and meta!B13/B16/B17 standardize #ERR envelopes and propagation through parser/dispatch/runtime_run.</t>
        </is>
      </c>
    </row>
    <row r="7">
      <c r="A7" t="inlineStr">
        <is>
          <t>3</t>
        </is>
      </c>
      <c r="B7" t="inlineStr">
        <is>
          <t>Bun API modules expansion</t>
        </is>
      </c>
      <c r="C7" t="inlineStr">
        <is>
          <t>DONE</t>
        </is>
      </c>
      <c r="D7" t="inlineStr">
        <is>
          <t>runtime_modules describes supported modules; functions includes path/math/url/semver/date plus promise/fs/process/network pure-sheet simulations.</t>
        </is>
      </c>
    </row>
    <row r="8">
      <c r="A8" t="inlineStr">
        <is>
          <t>3</t>
        </is>
      </c>
      <c r="B8" t="inlineStr">
        <is>
          <t>Promise/async contract</t>
        </is>
      </c>
      <c r="C8" t="inlineStr">
        <is>
          <t>DONE</t>
        </is>
      </c>
      <c r="D8" t="inlineStr">
        <is>
          <t>runtime_async and promise.* functions model RESOLVED/REJECTED state as pure sheet strings/envelopes.</t>
        </is>
      </c>
    </row>
    <row r="9">
      <c r="A9" t="inlineStr">
        <is>
          <t>3</t>
        </is>
      </c>
      <c r="B9" t="inlineStr">
        <is>
          <t>IO boundary model</t>
        </is>
      </c>
      <c r="C9" t="inlineStr">
        <is>
          <t>DONE</t>
        </is>
      </c>
      <c r="D9" t="inlineStr">
        <is>
          <t>runtime_io fixtures and fs/process/network functions simulate IO without external runtime calls.</t>
        </is>
      </c>
    </row>
    <row r="10">
      <c r="A10" t="inlineStr">
        <is>
          <t>4</t>
        </is>
      </c>
      <c r="B10" t="inlineStr">
        <is>
          <t>Verification matrix</t>
        </is>
      </c>
      <c r="C10" t="inlineStr">
        <is>
          <t>DONE</t>
        </is>
      </c>
      <c r="D10" t="inlineStr">
        <is>
          <t>tests + runtime_trace now provide workbook-native e2e verification matrix.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2" t="inlineStr">
        <is>
          <t>step</t>
        </is>
      </c>
      <c r="B1" s="2" t="inlineStr">
        <is>
          <t>expr</t>
        </is>
      </c>
      <c r="C1" s="2" t="inlineStr">
        <is>
          <t>parsed</t>
        </is>
      </c>
      <c r="D1" s="2" t="inlineStr">
        <is>
          <t>typed_result</t>
        </is>
      </c>
      <c r="E1" s="2" t="inlineStr">
        <is>
          <t>result</t>
        </is>
      </c>
      <c r="F1" s="2" t="inlineStr">
        <is>
          <t>status</t>
        </is>
      </c>
      <c r="G1" s="2" t="inlineStr">
        <is>
          <t>expected</t>
        </is>
      </c>
      <c r="H1" s="2" t="inlineStr">
        <is>
          <t>pass</t>
        </is>
      </c>
    </row>
    <row r="2">
      <c r="A2">
        <f>IF(tests!A2="","",ROW()-1)</f>
        <v/>
      </c>
      <c r="B2">
        <f>tests!B2</f>
        <v/>
      </c>
      <c r="C2">
        <f>IF(B2="","",runtime_step!G2)</f>
        <v/>
      </c>
      <c r="D2">
        <f>IF(B2="","",runtime_run!B2)</f>
        <v/>
      </c>
      <c r="E2">
        <f>IF(B2="","",runtime_run!C2)</f>
        <v/>
      </c>
      <c r="F2">
        <f>IF(B2="","",runtime_run!D2)</f>
        <v/>
      </c>
      <c r="G2">
        <f>IF(B2="","",tests!D2)</f>
        <v/>
      </c>
      <c r="H2">
        <f>IF(B2="","",IFERROR(E2=G2,FALSE))</f>
        <v/>
      </c>
    </row>
    <row r="3">
      <c r="A3">
        <f>IF(tests!A3="","",ROW()-1)</f>
        <v/>
      </c>
      <c r="B3">
        <f>tests!B3</f>
        <v/>
      </c>
      <c r="C3">
        <f>IF(B3="","",runtime_step!G3)</f>
        <v/>
      </c>
      <c r="D3">
        <f>IF(B3="","",runtime_run!B3)</f>
        <v/>
      </c>
      <c r="E3">
        <f>IF(B3="","",runtime_run!C3)</f>
        <v/>
      </c>
      <c r="F3">
        <f>IF(B3="","",runtime_run!D3)</f>
        <v/>
      </c>
      <c r="G3">
        <f>IF(B3="","",tests!D3)</f>
        <v/>
      </c>
      <c r="H3">
        <f>IF(B3="","",IFERROR(E3=G3,FALSE))</f>
        <v/>
      </c>
    </row>
    <row r="4">
      <c r="A4">
        <f>IF(tests!A4="","",ROW()-1)</f>
        <v/>
      </c>
      <c r="B4">
        <f>tests!B4</f>
        <v/>
      </c>
      <c r="C4">
        <f>IF(B4="","",runtime_step!G4)</f>
        <v/>
      </c>
      <c r="D4">
        <f>IF(B4="","",runtime_run!B4)</f>
        <v/>
      </c>
      <c r="E4">
        <f>IF(B4="","",runtime_run!C4)</f>
        <v/>
      </c>
      <c r="F4">
        <f>IF(B4="","",runtime_run!D4)</f>
        <v/>
      </c>
      <c r="G4">
        <f>IF(B4="","",tests!D4)</f>
        <v/>
      </c>
      <c r="H4">
        <f>IF(B4="","",IFERROR(E4=G4,FALSE))</f>
        <v/>
      </c>
    </row>
    <row r="5">
      <c r="A5">
        <f>IF(tests!A5="","",ROW()-1)</f>
        <v/>
      </c>
      <c r="B5">
        <f>tests!B5</f>
        <v/>
      </c>
      <c r="C5">
        <f>IF(B5="","",runtime_step!G5)</f>
        <v/>
      </c>
      <c r="D5">
        <f>IF(B5="","",runtime_run!B5)</f>
        <v/>
      </c>
      <c r="E5">
        <f>IF(B5="","",runtime_run!C5)</f>
        <v/>
      </c>
      <c r="F5">
        <f>IF(B5="","",runtime_run!D5)</f>
        <v/>
      </c>
      <c r="G5">
        <f>IF(B5="","",tests!D5)</f>
        <v/>
      </c>
      <c r="H5">
        <f>IF(B5="","",IFERROR(E5=G5,FALSE))</f>
        <v/>
      </c>
    </row>
    <row r="6">
      <c r="A6">
        <f>IF(tests!A6="","",ROW()-1)</f>
        <v/>
      </c>
      <c r="B6">
        <f>tests!B6</f>
        <v/>
      </c>
      <c r="C6">
        <f>IF(B6="","",runtime_step!G6)</f>
        <v/>
      </c>
      <c r="D6">
        <f>IF(B6="","",runtime_run!B6)</f>
        <v/>
      </c>
      <c r="E6">
        <f>IF(B6="","",runtime_run!C6)</f>
        <v/>
      </c>
      <c r="F6">
        <f>IF(B6="","",runtime_run!D6)</f>
        <v/>
      </c>
      <c r="G6">
        <f>IF(B6="","",tests!D6)</f>
        <v/>
      </c>
      <c r="H6">
        <f>IF(B6="","",IFERROR(E6=G6,FALSE))</f>
        <v/>
      </c>
    </row>
    <row r="7">
      <c r="A7">
        <f>IF(tests!A7="","",ROW()-1)</f>
        <v/>
      </c>
      <c r="B7">
        <f>tests!B7</f>
        <v/>
      </c>
      <c r="C7">
        <f>IF(B7="","",runtime_step!G7)</f>
        <v/>
      </c>
      <c r="D7">
        <f>IF(B7="","",runtime_run!B7)</f>
        <v/>
      </c>
      <c r="E7">
        <f>IF(B7="","",runtime_run!C7)</f>
        <v/>
      </c>
      <c r="F7">
        <f>IF(B7="","",runtime_run!D7)</f>
        <v/>
      </c>
      <c r="G7">
        <f>IF(B7="","",tests!D7)</f>
        <v/>
      </c>
      <c r="H7">
        <f>IF(B7="","",IFERROR(E7=G7,FALSE))</f>
        <v/>
      </c>
    </row>
    <row r="8">
      <c r="A8">
        <f>IF(tests!A8="","",ROW()-1)</f>
        <v/>
      </c>
      <c r="B8">
        <f>tests!B8</f>
        <v/>
      </c>
      <c r="C8">
        <f>IF(B8="","",runtime_step!G8)</f>
        <v/>
      </c>
      <c r="D8">
        <f>IF(B8="","",runtime_run!B8)</f>
        <v/>
      </c>
      <c r="E8">
        <f>IF(B8="","",runtime_run!C8)</f>
        <v/>
      </c>
      <c r="F8">
        <f>IF(B8="","",runtime_run!D8)</f>
        <v/>
      </c>
      <c r="G8">
        <f>IF(B8="","",tests!D8)</f>
        <v/>
      </c>
      <c r="H8">
        <f>IF(B8="","",IFERROR(E8=G8,FALSE))</f>
        <v/>
      </c>
    </row>
    <row r="9">
      <c r="A9">
        <f>IF(tests!A9="","",ROW()-1)</f>
        <v/>
      </c>
      <c r="B9">
        <f>tests!B9</f>
        <v/>
      </c>
      <c r="C9">
        <f>IF(B9="","",runtime_step!G9)</f>
        <v/>
      </c>
      <c r="D9">
        <f>IF(B9="","",runtime_run!B9)</f>
        <v/>
      </c>
      <c r="E9">
        <f>IF(B9="","",runtime_run!C9)</f>
        <v/>
      </c>
      <c r="F9">
        <f>IF(B9="","",runtime_run!D9)</f>
        <v/>
      </c>
      <c r="G9">
        <f>IF(B9="","",tests!D9)</f>
        <v/>
      </c>
      <c r="H9">
        <f>IF(B9="","",IFERROR(E9=G9,FALSE))</f>
        <v/>
      </c>
    </row>
    <row r="10">
      <c r="A10">
        <f>IF(tests!A10="","",ROW()-1)</f>
        <v/>
      </c>
      <c r="B10">
        <f>tests!B10</f>
        <v/>
      </c>
      <c r="C10">
        <f>IF(B10="","",runtime_step!G10)</f>
        <v/>
      </c>
      <c r="D10">
        <f>IF(B10="","",runtime_run!B10)</f>
        <v/>
      </c>
      <c r="E10">
        <f>IF(B10="","",runtime_run!C10)</f>
        <v/>
      </c>
      <c r="F10">
        <f>IF(B10="","",runtime_run!D10)</f>
        <v/>
      </c>
      <c r="G10">
        <f>IF(B10="","",tests!D10)</f>
        <v/>
      </c>
      <c r="H10">
        <f>IF(B10="","",IFERROR(E10=G10,FALSE))</f>
        <v/>
      </c>
    </row>
    <row r="11">
      <c r="A11">
        <f>IF(tests!A11="","",ROW()-1)</f>
        <v/>
      </c>
      <c r="B11">
        <f>tests!B11</f>
        <v/>
      </c>
      <c r="C11">
        <f>IF(B11="","",runtime_step!G11)</f>
        <v/>
      </c>
      <c r="D11">
        <f>IF(B11="","",runtime_run!B11)</f>
        <v/>
      </c>
      <c r="E11">
        <f>IF(B11="","",runtime_run!C11)</f>
        <v/>
      </c>
      <c r="F11">
        <f>IF(B11="","",runtime_run!D11)</f>
        <v/>
      </c>
      <c r="G11">
        <f>IF(B11="","",tests!D11)</f>
        <v/>
      </c>
      <c r="H11">
        <f>IF(B11="","",IFERROR(E11=G11,FALSE))</f>
        <v/>
      </c>
    </row>
    <row r="12">
      <c r="A12">
        <f>IF(tests!A12="","",ROW()-1)</f>
        <v/>
      </c>
      <c r="B12">
        <f>tests!B12</f>
        <v/>
      </c>
      <c r="C12">
        <f>IF(B12="","",runtime_step!G12)</f>
        <v/>
      </c>
      <c r="D12">
        <f>IF(B12="","",runtime_run!B12)</f>
        <v/>
      </c>
      <c r="E12">
        <f>IF(B12="","",runtime_run!C12)</f>
        <v/>
      </c>
      <c r="F12">
        <f>IF(B12="","",runtime_run!D12)</f>
        <v/>
      </c>
      <c r="G12">
        <f>IF(B12="","",tests!D12)</f>
        <v/>
      </c>
      <c r="H12">
        <f>IF(B12="","",IFERROR(E12=G12,FALSE))</f>
        <v/>
      </c>
    </row>
    <row r="13">
      <c r="A13">
        <f>IF(tests!A13="","",ROW()-1)</f>
        <v/>
      </c>
      <c r="B13">
        <f>tests!B13</f>
        <v/>
      </c>
      <c r="C13">
        <f>IF(B13="","",runtime_step!G13)</f>
        <v/>
      </c>
      <c r="D13">
        <f>IF(B13="","",runtime_run!B13)</f>
        <v/>
      </c>
      <c r="E13">
        <f>IF(B13="","",runtime_run!C13)</f>
        <v/>
      </c>
      <c r="F13">
        <f>IF(B13="","",runtime_run!D13)</f>
        <v/>
      </c>
      <c r="G13">
        <f>IF(B13="","",tests!D13)</f>
        <v/>
      </c>
      <c r="H13">
        <f>IF(B13="","",IFERROR(E13=G13,FALSE))</f>
        <v/>
      </c>
    </row>
    <row r="14">
      <c r="A14">
        <f>IF(tests!A14="","",ROW()-1)</f>
        <v/>
      </c>
      <c r="B14">
        <f>tests!B14</f>
        <v/>
      </c>
      <c r="C14">
        <f>IF(B14="","",runtime_step!G14)</f>
        <v/>
      </c>
      <c r="D14">
        <f>IF(B14="","",runtime_run!B14)</f>
        <v/>
      </c>
      <c r="E14">
        <f>IF(B14="","",runtime_run!C14)</f>
        <v/>
      </c>
      <c r="F14">
        <f>IF(B14="","",runtime_run!D14)</f>
        <v/>
      </c>
      <c r="G14">
        <f>IF(B14="","",tests!D14)</f>
        <v/>
      </c>
      <c r="H14">
        <f>IF(B14="","",IFERROR(E14=G14,FALSE))</f>
        <v/>
      </c>
    </row>
    <row r="15">
      <c r="A15">
        <f>IF(tests!A15="","",ROW()-1)</f>
        <v/>
      </c>
      <c r="B15">
        <f>tests!B15</f>
        <v/>
      </c>
      <c r="C15">
        <f>IF(B15="","",runtime_step!G15)</f>
        <v/>
      </c>
      <c r="D15">
        <f>IF(B15="","",runtime_run!B15)</f>
        <v/>
      </c>
      <c r="E15">
        <f>IF(B15="","",runtime_run!C15)</f>
        <v/>
      </c>
      <c r="F15">
        <f>IF(B15="","",runtime_run!D15)</f>
        <v/>
      </c>
      <c r="G15">
        <f>IF(B15="","",tests!D15)</f>
        <v/>
      </c>
      <c r="H15">
        <f>IF(B15="","",IFERROR(E15=G15,FALSE))</f>
        <v/>
      </c>
    </row>
    <row r="16">
      <c r="A16">
        <f>IF(tests!A16="","",ROW()-1)</f>
        <v/>
      </c>
      <c r="B16">
        <f>tests!B16</f>
        <v/>
      </c>
      <c r="C16">
        <f>IF(B16="","",runtime_step!G16)</f>
        <v/>
      </c>
      <c r="D16">
        <f>IF(B16="","",runtime_run!B16)</f>
        <v/>
      </c>
      <c r="E16">
        <f>IF(B16="","",runtime_run!C16)</f>
        <v/>
      </c>
      <c r="F16">
        <f>IF(B16="","",runtime_run!D16)</f>
        <v/>
      </c>
      <c r="G16">
        <f>IF(B16="","",tests!D16)</f>
        <v/>
      </c>
      <c r="H16">
        <f>IF(B16="","",IFERROR(E16=G16,FALSE))</f>
        <v/>
      </c>
    </row>
    <row r="17">
      <c r="A17">
        <f>IF(tests!A17="","",ROW()-1)</f>
        <v/>
      </c>
      <c r="B17">
        <f>tests!B17</f>
        <v/>
      </c>
      <c r="C17">
        <f>IF(B17="","",runtime_step!G17)</f>
        <v/>
      </c>
      <c r="D17">
        <f>IF(B17="","",runtime_run!B17)</f>
        <v/>
      </c>
      <c r="E17">
        <f>IF(B17="","",runtime_run!C17)</f>
        <v/>
      </c>
      <c r="F17">
        <f>IF(B17="","",runtime_run!D17)</f>
        <v/>
      </c>
      <c r="G17">
        <f>IF(B17="","",tests!D17)</f>
        <v/>
      </c>
      <c r="H17">
        <f>IF(B17="","",IFERROR(E17=G17,FALSE))</f>
        <v/>
      </c>
    </row>
    <row r="18">
      <c r="A18">
        <f>IF(tests!A18="","",ROW()-1)</f>
        <v/>
      </c>
      <c r="B18">
        <f>tests!B18</f>
        <v/>
      </c>
      <c r="C18">
        <f>IF(B18="","",runtime_step!G18)</f>
        <v/>
      </c>
      <c r="D18">
        <f>IF(B18="","",runtime_run!B18)</f>
        <v/>
      </c>
      <c r="E18">
        <f>IF(B18="","",runtime_run!C18)</f>
        <v/>
      </c>
      <c r="F18">
        <f>IF(B18="","",runtime_run!D18)</f>
        <v/>
      </c>
      <c r="G18">
        <f>IF(B18="","",tests!D18)</f>
        <v/>
      </c>
      <c r="H18">
        <f>IF(B18="","",IFERROR(E18=G18,FALSE))</f>
        <v/>
      </c>
    </row>
    <row r="19">
      <c r="A19">
        <f>IF(tests!A19="","",ROW()-1)</f>
        <v/>
      </c>
      <c r="B19">
        <f>tests!B19</f>
        <v/>
      </c>
      <c r="C19">
        <f>IF(B19="","",runtime_step!G19)</f>
        <v/>
      </c>
      <c r="D19">
        <f>IF(B19="","",runtime_run!B19)</f>
        <v/>
      </c>
      <c r="E19">
        <f>IF(B19="","",runtime_run!C19)</f>
        <v/>
      </c>
      <c r="F19">
        <f>IF(B19="","",runtime_run!D19)</f>
        <v/>
      </c>
      <c r="G19">
        <f>IF(B19="","",tests!D19)</f>
        <v/>
      </c>
      <c r="H19">
        <f>IF(B19="","",IFERROR(E19=G19,FALSE))</f>
        <v/>
      </c>
    </row>
    <row r="20">
      <c r="A20">
        <f>IF(tests!A20="","",ROW()-1)</f>
        <v/>
      </c>
      <c r="B20">
        <f>tests!B20</f>
        <v/>
      </c>
      <c r="C20">
        <f>IF(B20="","",runtime_step!G20)</f>
        <v/>
      </c>
      <c r="D20">
        <f>IF(B20="","",runtime_run!B20)</f>
        <v/>
      </c>
      <c r="E20">
        <f>IF(B20="","",runtime_run!C20)</f>
        <v/>
      </c>
      <c r="F20">
        <f>IF(B20="","",runtime_run!D20)</f>
        <v/>
      </c>
      <c r="G20">
        <f>IF(B20="","",tests!D20)</f>
        <v/>
      </c>
      <c r="H20">
        <f>IF(B20="","",IFERROR(E20=G20,FALSE))</f>
        <v/>
      </c>
    </row>
    <row r="21">
      <c r="A21">
        <f>IF(tests!A21="","",ROW()-1)</f>
        <v/>
      </c>
      <c r="B21">
        <f>tests!B21</f>
        <v/>
      </c>
      <c r="C21">
        <f>IF(B21="","",runtime_step!G21)</f>
        <v/>
      </c>
      <c r="D21">
        <f>IF(B21="","",runtime_run!B21)</f>
        <v/>
      </c>
      <c r="E21">
        <f>IF(B21="","",runtime_run!C21)</f>
        <v/>
      </c>
      <c r="F21">
        <f>IF(B21="","",runtime_run!D21)</f>
        <v/>
      </c>
      <c r="G21">
        <f>IF(B21="","",tests!D21)</f>
        <v/>
      </c>
      <c r="H21">
        <f>IF(B21="","",IFERROR(E21=G21,FALSE))</f>
        <v/>
      </c>
    </row>
    <row r="22">
      <c r="A22">
        <f>IF(tests!A22="","",ROW()-1)</f>
        <v/>
      </c>
      <c r="B22">
        <f>tests!B22</f>
        <v/>
      </c>
      <c r="C22">
        <f>IF(B22="","",runtime_step!G22)</f>
        <v/>
      </c>
      <c r="D22">
        <f>IF(B22="","",runtime_run!B22)</f>
        <v/>
      </c>
      <c r="E22">
        <f>IF(B22="","",runtime_run!C22)</f>
        <v/>
      </c>
      <c r="F22">
        <f>IF(B22="","",runtime_run!D22)</f>
        <v/>
      </c>
      <c r="G22">
        <f>IF(B22="","",tests!D22)</f>
        <v/>
      </c>
      <c r="H22">
        <f>IF(B22="","",IFERROR(E22=G22,FALSE))</f>
        <v/>
      </c>
    </row>
    <row r="23">
      <c r="A23">
        <f>IF(tests!A23="","",ROW()-1)</f>
        <v/>
      </c>
      <c r="B23">
        <f>tests!B23</f>
        <v/>
      </c>
      <c r="C23">
        <f>IF(B23="","",runtime_step!G23)</f>
        <v/>
      </c>
      <c r="D23">
        <f>IF(B23="","",runtime_run!B23)</f>
        <v/>
      </c>
      <c r="E23">
        <f>IF(B23="","",runtime_run!C23)</f>
        <v/>
      </c>
      <c r="F23">
        <f>IF(B23="","",runtime_run!D23)</f>
        <v/>
      </c>
      <c r="G23">
        <f>IF(B23="","",tests!D23)</f>
        <v/>
      </c>
      <c r="H23">
        <f>IF(B23="","",IFERROR(E23=G23,FALSE))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expr</t>
        </is>
      </c>
      <c r="B1" s="2" t="inlineStr">
        <is>
          <t>depth_estimate</t>
        </is>
      </c>
      <c r="C1" s="2" t="inlineStr">
        <is>
          <t>parsed_module</t>
        </is>
      </c>
      <c r="D1" s="2" t="inlineStr">
        <is>
          <t>parsed_fn</t>
        </is>
      </c>
      <c r="E1" s="2" t="inlineStr">
        <is>
          <t>arg_count</t>
        </is>
      </c>
      <c r="F1" s="2" t="inlineStr">
        <is>
          <t>parse_status</t>
        </is>
      </c>
      <c r="G1" s="2" t="inlineStr">
        <is>
          <t>raw_parse</t>
        </is>
      </c>
      <c r="H1" s="2" t="inlineStr">
        <is>
          <t>frame_budget_ok</t>
        </is>
      </c>
      <c r="I1" s="2" t="inlineStr">
        <is>
          <t>depth_gate</t>
        </is>
      </c>
    </row>
    <row r="2">
      <c r="A2">
        <f>IF(tests!A2="","",tests!B2)</f>
        <v/>
      </c>
      <c r="B2">
        <f>IF(A2="","",LEN(A2)-LEN(SUBSTITUTE(A2,"(","")))</f>
        <v/>
      </c>
      <c r="C2">
        <f>IF(A2="","",INDEX(meta!B7(A2),1))</f>
        <v/>
      </c>
      <c r="D2">
        <f>IF(A2="","",INDEX(meta!B7(A2),2))</f>
        <v/>
      </c>
      <c r="E2">
        <f>IF(A2="","",IFERROR(INDEX(meta!B7(A2),3),""))</f>
        <v/>
      </c>
      <c r="F2">
        <f>IF(A2="","",IF(LEFT((INDEX(meta!B7(A2),1)&amp;""),1)="#","ERR","OK"))</f>
        <v/>
      </c>
      <c r="G2">
        <f>IF(A2="","",meta!B7(A2))</f>
        <v/>
      </c>
      <c r="H2">
        <f>IF(A2="","",IF(B2&lt;=64,TRUE(),FALSE()))</f>
        <v/>
      </c>
      <c r="I2">
        <f>IF(A2="","",IF(B2&lt;=64,"ok","#ERR: max depth"))</f>
        <v/>
      </c>
    </row>
    <row r="3">
      <c r="A3">
        <f>IF(tests!A3="","",tests!B3)</f>
        <v/>
      </c>
      <c r="B3">
        <f>IF(A3="","",LEN(A3)-LEN(SUBSTITUTE(A3,"(","")))</f>
        <v/>
      </c>
      <c r="C3">
        <f>IF(A3="","",INDEX(meta!B7(A3),1))</f>
        <v/>
      </c>
      <c r="D3">
        <f>IF(A3="","",INDEX(meta!B7(A3),2))</f>
        <v/>
      </c>
      <c r="E3">
        <f>IF(A3="","",IFERROR(INDEX(meta!B7(A3),3),""))</f>
        <v/>
      </c>
      <c r="F3">
        <f>IF(A3="","",IF(LEFT((INDEX(meta!B7(A3),1)&amp;""),1)="#","ERR","OK"))</f>
        <v/>
      </c>
      <c r="G3">
        <f>IF(A3="","",meta!B7(A3))</f>
        <v/>
      </c>
      <c r="H3">
        <f>IF(A3="","",IF(B3&lt;=64,TRUE(),FALSE()))</f>
        <v/>
      </c>
      <c r="I3">
        <f>IF(A3="","",IF(B3&lt;=64,"ok","#ERR: max depth"))</f>
        <v/>
      </c>
    </row>
    <row r="4">
      <c r="A4">
        <f>IF(tests!A4="","",tests!B4)</f>
        <v/>
      </c>
      <c r="B4">
        <f>IF(A4="","",LEN(A4)-LEN(SUBSTITUTE(A4,"(","")))</f>
        <v/>
      </c>
      <c r="C4">
        <f>IF(A4="","",INDEX(meta!B7(A4),1))</f>
        <v/>
      </c>
      <c r="D4">
        <f>IF(A4="","",INDEX(meta!B7(A4),2))</f>
        <v/>
      </c>
      <c r="E4">
        <f>IF(A4="","",IFERROR(INDEX(meta!B7(A4),3),""))</f>
        <v/>
      </c>
      <c r="F4">
        <f>IF(A4="","",IF(LEFT((INDEX(meta!B7(A4),1)&amp;""),1)="#","ERR","OK"))</f>
        <v/>
      </c>
      <c r="G4">
        <f>IF(A4="","",meta!B7(A4))</f>
        <v/>
      </c>
      <c r="H4">
        <f>IF(A4="","",IF(B4&lt;=64,TRUE(),FALSE()))</f>
        <v/>
      </c>
      <c r="I4">
        <f>IF(A4="","",IF(B4&lt;=64,"ok","#ERR: max depth"))</f>
        <v/>
      </c>
    </row>
    <row r="5">
      <c r="A5">
        <f>IF(tests!A5="","",tests!B5)</f>
        <v/>
      </c>
      <c r="B5">
        <f>IF(A5="","",LEN(A5)-LEN(SUBSTITUTE(A5,"(","")))</f>
        <v/>
      </c>
      <c r="C5">
        <f>IF(A5="","",INDEX(meta!B7(A5),1))</f>
        <v/>
      </c>
      <c r="D5">
        <f>IF(A5="","",INDEX(meta!B7(A5),2))</f>
        <v/>
      </c>
      <c r="E5">
        <f>IF(A5="","",IFERROR(INDEX(meta!B7(A5),3),""))</f>
        <v/>
      </c>
      <c r="F5">
        <f>IF(A5="","",IF(LEFT((INDEX(meta!B7(A5),1)&amp;""),1)="#","ERR","OK"))</f>
        <v/>
      </c>
      <c r="G5">
        <f>IF(A5="","",meta!B7(A5))</f>
        <v/>
      </c>
      <c r="H5">
        <f>IF(A5="","",IF(B5&lt;=64,TRUE(),FALSE()))</f>
        <v/>
      </c>
      <c r="I5">
        <f>IF(A5="","",IF(B5&lt;=64,"ok","#ERR: max depth"))</f>
        <v/>
      </c>
    </row>
    <row r="6">
      <c r="A6">
        <f>IF(tests!A6="","",tests!B6)</f>
        <v/>
      </c>
      <c r="B6">
        <f>IF(A6="","",LEN(A6)-LEN(SUBSTITUTE(A6,"(","")))</f>
        <v/>
      </c>
      <c r="C6">
        <f>IF(A6="","",INDEX(meta!B7(A6),1))</f>
        <v/>
      </c>
      <c r="D6">
        <f>IF(A6="","",INDEX(meta!B7(A6),2))</f>
        <v/>
      </c>
      <c r="E6">
        <f>IF(A6="","",IFERROR(INDEX(meta!B7(A6),3),""))</f>
        <v/>
      </c>
      <c r="F6">
        <f>IF(A6="","",IF(LEFT((INDEX(meta!B7(A6),1)&amp;""),1)="#","ERR","OK"))</f>
        <v/>
      </c>
      <c r="G6">
        <f>IF(A6="","",meta!B7(A6))</f>
        <v/>
      </c>
      <c r="H6">
        <f>IF(A6="","",IF(B6&lt;=64,TRUE(),FALSE()))</f>
        <v/>
      </c>
      <c r="I6">
        <f>IF(A6="","",IF(B6&lt;=64,"ok","#ERR: max depth"))</f>
        <v/>
      </c>
    </row>
    <row r="7">
      <c r="A7">
        <f>IF(tests!A7="","",tests!B7)</f>
        <v/>
      </c>
      <c r="B7">
        <f>IF(A7="","",LEN(A7)-LEN(SUBSTITUTE(A7,"(","")))</f>
        <v/>
      </c>
      <c r="C7">
        <f>IF(A7="","",INDEX(meta!B7(A7),1))</f>
        <v/>
      </c>
      <c r="D7">
        <f>IF(A7="","",INDEX(meta!B7(A7),2))</f>
        <v/>
      </c>
      <c r="E7">
        <f>IF(A7="","",IFERROR(INDEX(meta!B7(A7),3),""))</f>
        <v/>
      </c>
      <c r="F7">
        <f>IF(A7="","",IF(LEFT((INDEX(meta!B7(A7),1)&amp;""),1)="#","ERR","OK"))</f>
        <v/>
      </c>
      <c r="G7">
        <f>IF(A7="","",meta!B7(A7))</f>
        <v/>
      </c>
      <c r="H7">
        <f>IF(A7="","",IF(B7&lt;=64,TRUE(),FALSE()))</f>
        <v/>
      </c>
      <c r="I7">
        <f>IF(A7="","",IF(B7&lt;=64,"ok","#ERR: max depth"))</f>
        <v/>
      </c>
    </row>
    <row r="8">
      <c r="A8">
        <f>IF(tests!A8="","",tests!B8)</f>
        <v/>
      </c>
      <c r="B8">
        <f>IF(A8="","",LEN(A8)-LEN(SUBSTITUTE(A8,"(","")))</f>
        <v/>
      </c>
      <c r="C8">
        <f>IF(A8="","",INDEX(meta!B7(A8),1))</f>
        <v/>
      </c>
      <c r="D8">
        <f>IF(A8="","",INDEX(meta!B7(A8),2))</f>
        <v/>
      </c>
      <c r="E8">
        <f>IF(A8="","",IFERROR(INDEX(meta!B7(A8),3),""))</f>
        <v/>
      </c>
      <c r="F8">
        <f>IF(A8="","",IF(LEFT((INDEX(meta!B7(A8),1)&amp;""),1)="#","ERR","OK"))</f>
        <v/>
      </c>
      <c r="G8">
        <f>IF(A8="","",meta!B7(A8))</f>
        <v/>
      </c>
      <c r="H8">
        <f>IF(A8="","",IF(B8&lt;=64,TRUE(),FALSE()))</f>
        <v/>
      </c>
      <c r="I8">
        <f>IF(A8="","",IF(B8&lt;=64,"ok","#ERR: max depth"))</f>
        <v/>
      </c>
    </row>
    <row r="9">
      <c r="A9">
        <f>IF(tests!A9="","",tests!B9)</f>
        <v/>
      </c>
      <c r="B9">
        <f>IF(A9="","",LEN(A9)-LEN(SUBSTITUTE(A9,"(","")))</f>
        <v/>
      </c>
      <c r="C9">
        <f>IF(A9="","",INDEX(meta!B7(A9),1))</f>
        <v/>
      </c>
      <c r="D9">
        <f>IF(A9="","",INDEX(meta!B7(A9),2))</f>
        <v/>
      </c>
      <c r="E9">
        <f>IF(A9="","",IFERROR(INDEX(meta!B7(A9),3),""))</f>
        <v/>
      </c>
      <c r="F9">
        <f>IF(A9="","",IF(LEFT((INDEX(meta!B7(A9),1)&amp;""),1)="#","ERR","OK"))</f>
        <v/>
      </c>
      <c r="G9">
        <f>IF(A9="","",meta!B7(A9))</f>
        <v/>
      </c>
      <c r="H9">
        <f>IF(A9="","",IF(B9&lt;=64,TRUE(),FALSE()))</f>
        <v/>
      </c>
      <c r="I9">
        <f>IF(A9="","",IF(B9&lt;=64,"ok","#ERR: max depth"))</f>
        <v/>
      </c>
    </row>
    <row r="10">
      <c r="A10">
        <f>IF(tests!A10="","",tests!B10)</f>
        <v/>
      </c>
      <c r="B10">
        <f>IF(A10="","",LEN(A10)-LEN(SUBSTITUTE(A10,"(","")))</f>
        <v/>
      </c>
      <c r="C10">
        <f>IF(A10="","",INDEX(meta!B7(A10),1))</f>
        <v/>
      </c>
      <c r="D10">
        <f>IF(A10="","",INDEX(meta!B7(A10),2))</f>
        <v/>
      </c>
      <c r="E10">
        <f>IF(A10="","",IFERROR(INDEX(meta!B7(A10),3),""))</f>
        <v/>
      </c>
      <c r="F10">
        <f>IF(A10="","",IF(LEFT((INDEX(meta!B7(A10),1)&amp;""),1)="#","ERR","OK"))</f>
        <v/>
      </c>
      <c r="G10">
        <f>IF(A10="","",meta!B7(A10))</f>
        <v/>
      </c>
      <c r="H10">
        <f>IF(A10="","",IF(B10&lt;=64,TRUE(),FALSE()))</f>
        <v/>
      </c>
      <c r="I10">
        <f>IF(A10="","",IF(B10&lt;=64,"ok","#ERR: max depth"))</f>
        <v/>
      </c>
    </row>
    <row r="11">
      <c r="A11">
        <f>IF(tests!A11="","",tests!B11)</f>
        <v/>
      </c>
      <c r="B11">
        <f>IF(A11="","",LEN(A11)-LEN(SUBSTITUTE(A11,"(","")))</f>
        <v/>
      </c>
      <c r="C11">
        <f>IF(A11="","",INDEX(meta!B7(A11),1))</f>
        <v/>
      </c>
      <c r="D11">
        <f>IF(A11="","",INDEX(meta!B7(A11),2))</f>
        <v/>
      </c>
      <c r="E11">
        <f>IF(A11="","",IFERROR(INDEX(meta!B7(A11),3),""))</f>
        <v/>
      </c>
      <c r="F11">
        <f>IF(A11="","",IF(LEFT((INDEX(meta!B7(A11),1)&amp;""),1)="#","ERR","OK"))</f>
        <v/>
      </c>
      <c r="G11">
        <f>IF(A11="","",meta!B7(A11))</f>
        <v/>
      </c>
      <c r="H11">
        <f>IF(A11="","",IF(B11&lt;=64,TRUE(),FALSE()))</f>
        <v/>
      </c>
      <c r="I11">
        <f>IF(A11="","",IF(B11&lt;=64,"ok","#ERR: max depth"))</f>
        <v/>
      </c>
    </row>
    <row r="12">
      <c r="A12">
        <f>IF(tests!A12="","",tests!B12)</f>
        <v/>
      </c>
      <c r="B12">
        <f>IF(A12="","",LEN(A12)-LEN(SUBSTITUTE(A12,"(","")))</f>
        <v/>
      </c>
      <c r="C12">
        <f>IF(A12="","",INDEX(meta!B7(A12),1))</f>
        <v/>
      </c>
      <c r="D12">
        <f>IF(A12="","",INDEX(meta!B7(A12),2))</f>
        <v/>
      </c>
      <c r="E12">
        <f>IF(A12="","",IFERROR(INDEX(meta!B7(A12),3),""))</f>
        <v/>
      </c>
      <c r="F12">
        <f>IF(A12="","",IF(LEFT((INDEX(meta!B7(A12),1)&amp;""),1)="#","ERR","OK"))</f>
        <v/>
      </c>
      <c r="G12">
        <f>IF(A12="","",meta!B7(A12))</f>
        <v/>
      </c>
      <c r="H12">
        <f>IF(A12="","",IF(B12&lt;=64,TRUE(),FALSE()))</f>
        <v/>
      </c>
      <c r="I12">
        <f>IF(A12="","",IF(B12&lt;=64,"ok","#ERR: max depth"))</f>
        <v/>
      </c>
    </row>
    <row r="13">
      <c r="A13">
        <f>IF(tests!A13="","",tests!B13)</f>
        <v/>
      </c>
      <c r="B13">
        <f>IF(A13="","",LEN(A13)-LEN(SUBSTITUTE(A13,"(","")))</f>
        <v/>
      </c>
      <c r="C13">
        <f>IF(A13="","",INDEX(meta!B7(A13),1))</f>
        <v/>
      </c>
      <c r="D13">
        <f>IF(A13="","",INDEX(meta!B7(A13),2))</f>
        <v/>
      </c>
      <c r="E13">
        <f>IF(A13="","",IFERROR(INDEX(meta!B7(A13),3),""))</f>
        <v/>
      </c>
      <c r="F13">
        <f>IF(A13="","",IF(LEFT((INDEX(meta!B7(A13),1)&amp;""),1)="#","ERR","OK"))</f>
        <v/>
      </c>
      <c r="G13">
        <f>IF(A13="","",meta!B7(A13))</f>
        <v/>
      </c>
      <c r="H13">
        <f>IF(A13="","",IF(B13&lt;=64,TRUE(),FALSE()))</f>
        <v/>
      </c>
      <c r="I13">
        <f>IF(A13="","",IF(B13&lt;=64,"ok","#ERR: max depth"))</f>
        <v/>
      </c>
    </row>
    <row r="14">
      <c r="A14">
        <f>IF(tests!A14="","",tests!B14)</f>
        <v/>
      </c>
      <c r="B14">
        <f>IF(A14="","",LEN(A14)-LEN(SUBSTITUTE(A14,"(","")))</f>
        <v/>
      </c>
      <c r="C14">
        <f>IF(A14="","",INDEX(meta!B7(A14),1))</f>
        <v/>
      </c>
      <c r="D14">
        <f>IF(A14="","",INDEX(meta!B7(A14),2))</f>
        <v/>
      </c>
      <c r="E14">
        <f>IF(A14="","",IFERROR(INDEX(meta!B7(A14),3),""))</f>
        <v/>
      </c>
      <c r="F14">
        <f>IF(A14="","",IF(LEFT((INDEX(meta!B7(A14),1)&amp;""),1)="#","ERR","OK"))</f>
        <v/>
      </c>
      <c r="G14">
        <f>IF(A14="","",meta!B7(A14))</f>
        <v/>
      </c>
      <c r="H14">
        <f>IF(A14="","",IF(B14&lt;=64,TRUE(),FALSE()))</f>
        <v/>
      </c>
      <c r="I14">
        <f>IF(A14="","",IF(B14&lt;=64,"ok","#ERR: max depth"))</f>
        <v/>
      </c>
    </row>
    <row r="15">
      <c r="A15">
        <f>IF(tests!A15="","",tests!B15)</f>
        <v/>
      </c>
      <c r="B15">
        <f>IF(A15="","",LEN(A15)-LEN(SUBSTITUTE(A15,"(","")))</f>
        <v/>
      </c>
      <c r="C15">
        <f>IF(A15="","",INDEX(meta!B7(A15),1))</f>
        <v/>
      </c>
      <c r="D15">
        <f>IF(A15="","",INDEX(meta!B7(A15),2))</f>
        <v/>
      </c>
      <c r="E15">
        <f>IF(A15="","",IFERROR(INDEX(meta!B7(A15),3),""))</f>
        <v/>
      </c>
      <c r="F15">
        <f>IF(A15="","",IF(LEFT((INDEX(meta!B7(A15),1)&amp;""),1)="#","ERR","OK"))</f>
        <v/>
      </c>
      <c r="G15">
        <f>IF(A15="","",meta!B7(A15))</f>
        <v/>
      </c>
      <c r="H15">
        <f>IF(A15="","",IF(B15&lt;=64,TRUE(),FALSE()))</f>
        <v/>
      </c>
      <c r="I15">
        <f>IF(A15="","",IF(B15&lt;=64,"ok","#ERR: max depth"))</f>
        <v/>
      </c>
    </row>
    <row r="16">
      <c r="A16">
        <f>IF(tests!A16="","",tests!B16)</f>
        <v/>
      </c>
      <c r="B16">
        <f>IF(A16="","",LEN(A16)-LEN(SUBSTITUTE(A16,"(","")))</f>
        <v/>
      </c>
      <c r="C16">
        <f>IF(A16="","",INDEX(meta!B7(A16),1))</f>
        <v/>
      </c>
      <c r="D16">
        <f>IF(A16="","",INDEX(meta!B7(A16),2))</f>
        <v/>
      </c>
      <c r="E16">
        <f>IF(A16="","",IFERROR(INDEX(meta!B7(A16),3),""))</f>
        <v/>
      </c>
      <c r="F16">
        <f>IF(A16="","",IF(LEFT((INDEX(meta!B7(A16),1)&amp;""),1)="#","ERR","OK"))</f>
        <v/>
      </c>
      <c r="G16">
        <f>IF(A16="","",meta!B7(A16))</f>
        <v/>
      </c>
      <c r="H16">
        <f>IF(A16="","",IF(B16&lt;=64,TRUE(),FALSE()))</f>
        <v/>
      </c>
      <c r="I16">
        <f>IF(A16="","",IF(B16&lt;=64,"ok","#ERR: max depth"))</f>
        <v/>
      </c>
    </row>
    <row r="17">
      <c r="A17">
        <f>IF(tests!A17="","",tests!B17)</f>
        <v/>
      </c>
      <c r="B17">
        <f>IF(A17="","",LEN(A17)-LEN(SUBSTITUTE(A17,"(","")))</f>
        <v/>
      </c>
      <c r="C17">
        <f>IF(A17="","",INDEX(meta!B7(A17),1))</f>
        <v/>
      </c>
      <c r="D17">
        <f>IF(A17="","",INDEX(meta!B7(A17),2))</f>
        <v/>
      </c>
      <c r="E17">
        <f>IF(A17="","",IFERROR(INDEX(meta!B7(A17),3),""))</f>
        <v/>
      </c>
      <c r="F17">
        <f>IF(A17="","",IF(LEFT((INDEX(meta!B7(A17),1)&amp;""),1)="#","ERR","OK"))</f>
        <v/>
      </c>
      <c r="G17">
        <f>IF(A17="","",meta!B7(A17))</f>
        <v/>
      </c>
      <c r="H17">
        <f>IF(A17="","",IF(B17&lt;=64,TRUE(),FALSE()))</f>
        <v/>
      </c>
      <c r="I17">
        <f>IF(A17="","",IF(B17&lt;=64,"ok","#ERR: max depth"))</f>
        <v/>
      </c>
    </row>
    <row r="18">
      <c r="A18">
        <f>IF(tests!A18="","",tests!B18)</f>
        <v/>
      </c>
      <c r="B18">
        <f>IF(A18="","",LEN(A18)-LEN(SUBSTITUTE(A18,"(","")))</f>
        <v/>
      </c>
      <c r="C18">
        <f>IF(A18="","",INDEX(meta!B7(A18),1))</f>
        <v/>
      </c>
      <c r="D18">
        <f>IF(A18="","",INDEX(meta!B7(A18),2))</f>
        <v/>
      </c>
      <c r="E18">
        <f>IF(A18="","",IFERROR(INDEX(meta!B7(A18),3),""))</f>
        <v/>
      </c>
      <c r="F18">
        <f>IF(A18="","",IF(LEFT((INDEX(meta!B7(A18),1)&amp;""),1)="#","ERR","OK"))</f>
        <v/>
      </c>
      <c r="G18">
        <f>IF(A18="","",meta!B7(A18))</f>
        <v/>
      </c>
      <c r="H18">
        <f>IF(A18="","",IF(B18&lt;=64,TRUE(),FALSE()))</f>
        <v/>
      </c>
      <c r="I18">
        <f>IF(A18="","",IF(B18&lt;=64,"ok","#ERR: max depth"))</f>
        <v/>
      </c>
    </row>
    <row r="19">
      <c r="A19">
        <f>IF(tests!A19="","",tests!B19)</f>
        <v/>
      </c>
      <c r="B19">
        <f>IF(A19="","",LEN(A19)-LEN(SUBSTITUTE(A19,"(","")))</f>
        <v/>
      </c>
      <c r="C19">
        <f>IF(A19="","",INDEX(meta!B7(A19),1))</f>
        <v/>
      </c>
      <c r="D19">
        <f>IF(A19="","",INDEX(meta!B7(A19),2))</f>
        <v/>
      </c>
      <c r="E19">
        <f>IF(A19="","",IFERROR(INDEX(meta!B7(A19),3),""))</f>
        <v/>
      </c>
      <c r="F19">
        <f>IF(A19="","",IF(LEFT((INDEX(meta!B7(A19),1)&amp;""),1)="#","ERR","OK"))</f>
        <v/>
      </c>
      <c r="G19">
        <f>IF(A19="","",meta!B7(A19))</f>
        <v/>
      </c>
      <c r="H19">
        <f>IF(A19="","",IF(B19&lt;=64,TRUE(),FALSE()))</f>
        <v/>
      </c>
      <c r="I19">
        <f>IF(A19="","",IF(B19&lt;=64,"ok","#ERR: max depth"))</f>
        <v/>
      </c>
    </row>
    <row r="20">
      <c r="A20">
        <f>IF(tests!A20="","",tests!B20)</f>
        <v/>
      </c>
      <c r="B20">
        <f>IF(A20="","",LEN(A20)-LEN(SUBSTITUTE(A20,"(","")))</f>
        <v/>
      </c>
      <c r="C20">
        <f>IF(A20="","",INDEX(meta!B7(A20),1))</f>
        <v/>
      </c>
      <c r="D20">
        <f>IF(A20="","",INDEX(meta!B7(A20),2))</f>
        <v/>
      </c>
      <c r="E20">
        <f>IF(A20="","",IFERROR(INDEX(meta!B7(A20),3),""))</f>
        <v/>
      </c>
      <c r="F20">
        <f>IF(A20="","",IF(LEFT((INDEX(meta!B7(A20),1)&amp;""),1)="#","ERR","OK"))</f>
        <v/>
      </c>
      <c r="G20">
        <f>IF(A20="","",meta!B7(A20))</f>
        <v/>
      </c>
      <c r="H20">
        <f>IF(A20="","",IF(B20&lt;=64,TRUE(),FALSE()))</f>
        <v/>
      </c>
      <c r="I20">
        <f>IF(A20="","",IF(B20&lt;=64,"ok","#ERR: max depth"))</f>
        <v/>
      </c>
    </row>
    <row r="21">
      <c r="A21">
        <f>IF(tests!A21="","",tests!B21)</f>
        <v/>
      </c>
      <c r="B21">
        <f>IF(A21="","",LEN(A21)-LEN(SUBSTITUTE(A21,"(","")))</f>
        <v/>
      </c>
      <c r="C21">
        <f>IF(A21="","",INDEX(meta!B7(A21),1))</f>
        <v/>
      </c>
      <c r="D21">
        <f>IF(A21="","",INDEX(meta!B7(A21),2))</f>
        <v/>
      </c>
      <c r="E21">
        <f>IF(A21="","",IFERROR(INDEX(meta!B7(A21),3),""))</f>
        <v/>
      </c>
      <c r="F21">
        <f>IF(A21="","",IF(LEFT((INDEX(meta!B7(A21),1)&amp;""),1)="#","ERR","OK"))</f>
        <v/>
      </c>
      <c r="G21">
        <f>IF(A21="","",meta!B7(A21))</f>
        <v/>
      </c>
      <c r="H21">
        <f>IF(A21="","",IF(B21&lt;=64,TRUE(),FALSE()))</f>
        <v/>
      </c>
      <c r="I21">
        <f>IF(A21="","",IF(B21&lt;=64,"ok","#ERR: max depth"))</f>
        <v/>
      </c>
    </row>
    <row r="22">
      <c r="A22">
        <f>IF(tests!A22="","",tests!B22)</f>
        <v/>
      </c>
      <c r="B22">
        <f>IF(A22="","",LEN(A22)-LEN(SUBSTITUTE(A22,"(","")))</f>
        <v/>
      </c>
      <c r="C22">
        <f>IF(A22="","",INDEX(meta!B7(A22),1))</f>
        <v/>
      </c>
      <c r="D22">
        <f>IF(A22="","",INDEX(meta!B7(A22),2))</f>
        <v/>
      </c>
      <c r="E22">
        <f>IF(A22="","",IFERROR(INDEX(meta!B7(A22),3),""))</f>
        <v/>
      </c>
      <c r="F22">
        <f>IF(A22="","",IF(LEFT((INDEX(meta!B7(A22),1)&amp;""),1)="#","ERR","OK"))</f>
        <v/>
      </c>
      <c r="G22">
        <f>IF(A22="","",meta!B7(A22))</f>
        <v/>
      </c>
      <c r="H22">
        <f>IF(A22="","",IF(B22&lt;=64,TRUE(),FALSE()))</f>
        <v/>
      </c>
      <c r="I22">
        <f>IF(A22="","",IF(B22&lt;=64,"ok","#ERR: max depth"))</f>
        <v/>
      </c>
    </row>
    <row r="23">
      <c r="A23">
        <f>IF(tests!A23="","",tests!B23)</f>
        <v/>
      </c>
      <c r="B23">
        <f>IF(A23="","",LEN(A23)-LEN(SUBSTITUTE(A23,"(","")))</f>
        <v/>
      </c>
      <c r="C23">
        <f>IF(A23="","",INDEX(meta!B7(A23),1))</f>
        <v/>
      </c>
      <c r="D23">
        <f>IF(A23="","",INDEX(meta!B7(A23),2))</f>
        <v/>
      </c>
      <c r="E23">
        <f>IF(A23="","",IFERROR(INDEX(meta!B7(A23),3),""))</f>
        <v/>
      </c>
      <c r="F23">
        <f>IF(A23="","",IF(LEFT((INDEX(meta!B7(A23),1)&amp;""),1)="#","ERR","OK"))</f>
        <v/>
      </c>
      <c r="G23">
        <f>IF(A23="","",meta!B7(A23))</f>
        <v/>
      </c>
      <c r="H23">
        <f>IF(A23="","",IF(B23&lt;=64,TRUE(),FALSE()))</f>
        <v/>
      </c>
      <c r="I23">
        <f>IF(A23="","",IF(B23&lt;=64,"ok","#ERR: max depth"))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expr</t>
        </is>
      </c>
      <c r="B1" s="2" t="inlineStr">
        <is>
          <t>typed_result</t>
        </is>
      </c>
      <c r="C1" s="2" t="inlineStr">
        <is>
          <t>result</t>
        </is>
      </c>
      <c r="D1" s="2" t="inlineStr">
        <is>
          <t>status</t>
        </is>
      </c>
      <c r="E1" s="2" t="inlineStr">
        <is>
          <t>expected</t>
        </is>
      </c>
      <c r="F1" s="2" t="inlineStr">
        <is>
          <t>pass</t>
        </is>
      </c>
    </row>
    <row r="2">
      <c r="A2">
        <f>IF(tests!A2="","",tests!B2)</f>
        <v/>
      </c>
      <c r="B2">
        <f>IF(A2="","",meta!B9(A2))</f>
        <v/>
      </c>
      <c r="C2">
        <f>IF(A2="","",meta!B14(B2))</f>
        <v/>
      </c>
      <c r="D2">
        <f>IF(A2="","",IF(meta!B17(B2),"ERR","OK"))</f>
        <v/>
      </c>
      <c r="E2">
        <f>IF(A2="","",tests!D2)</f>
        <v/>
      </c>
      <c r="F2">
        <f>IF(A2="","",IFERROR(C2=E2,FALSE))</f>
        <v/>
      </c>
    </row>
    <row r="3">
      <c r="A3">
        <f>IF(tests!A3="","",tests!B3)</f>
        <v/>
      </c>
      <c r="B3">
        <f>IF(A3="","",meta!B9(A3))</f>
        <v/>
      </c>
      <c r="C3">
        <f>IF(A3="","",meta!B14(B3))</f>
        <v/>
      </c>
      <c r="D3">
        <f>IF(A3="","",IF(meta!B17(B3),"ERR","OK"))</f>
        <v/>
      </c>
      <c r="E3">
        <f>IF(A3="","",tests!D3)</f>
        <v/>
      </c>
      <c r="F3">
        <f>IF(A3="","",IFERROR(C3=E3,FALSE))</f>
        <v/>
      </c>
    </row>
    <row r="4">
      <c r="A4">
        <f>IF(tests!A4="","",tests!B4)</f>
        <v/>
      </c>
      <c r="B4">
        <f>IF(A4="","",meta!B9(A4))</f>
        <v/>
      </c>
      <c r="C4">
        <f>IF(A4="","",meta!B14(B4))</f>
        <v/>
      </c>
      <c r="D4">
        <f>IF(A4="","",IF(meta!B17(B4),"ERR","OK"))</f>
        <v/>
      </c>
      <c r="E4">
        <f>IF(A4="","",tests!D4)</f>
        <v/>
      </c>
      <c r="F4">
        <f>IF(A4="","",IFERROR(C4=E4,FALSE))</f>
        <v/>
      </c>
    </row>
    <row r="5">
      <c r="A5">
        <f>IF(tests!A5="","",tests!B5)</f>
        <v/>
      </c>
      <c r="B5">
        <f>IF(A5="","",meta!B9(A5))</f>
        <v/>
      </c>
      <c r="C5">
        <f>IF(A5="","",meta!B14(B5))</f>
        <v/>
      </c>
      <c r="D5">
        <f>IF(A5="","",IF(meta!B17(B5),"ERR","OK"))</f>
        <v/>
      </c>
      <c r="E5">
        <f>IF(A5="","",tests!D5)</f>
        <v/>
      </c>
      <c r="F5">
        <f>IF(A5="","",IFERROR(C5=E5,FALSE))</f>
        <v/>
      </c>
    </row>
    <row r="6">
      <c r="A6">
        <f>IF(tests!A6="","",tests!B6)</f>
        <v/>
      </c>
      <c r="B6">
        <f>IF(A6="","",meta!B9(A6))</f>
        <v/>
      </c>
      <c r="C6">
        <f>IF(A6="","",meta!B14(B6))</f>
        <v/>
      </c>
      <c r="D6">
        <f>IF(A6="","",IF(meta!B17(B6),"ERR","OK"))</f>
        <v/>
      </c>
      <c r="E6">
        <f>IF(A6="","",tests!D6)</f>
        <v/>
      </c>
      <c r="F6">
        <f>IF(A6="","",IFERROR(C6=E6,FALSE))</f>
        <v/>
      </c>
    </row>
    <row r="7">
      <c r="A7">
        <f>IF(tests!A7="","",tests!B7)</f>
        <v/>
      </c>
      <c r="B7">
        <f>IF(A7="","",meta!B9(A7))</f>
        <v/>
      </c>
      <c r="C7">
        <f>IF(A7="","",meta!B14(B7))</f>
        <v/>
      </c>
      <c r="D7">
        <f>IF(A7="","",IF(meta!B17(B7),"ERR","OK"))</f>
        <v/>
      </c>
      <c r="E7">
        <f>IF(A7="","",tests!D7)</f>
        <v/>
      </c>
      <c r="F7">
        <f>IF(A7="","",IFERROR(C7=E7,FALSE))</f>
        <v/>
      </c>
    </row>
    <row r="8">
      <c r="A8">
        <f>IF(tests!A8="","",tests!B8)</f>
        <v/>
      </c>
      <c r="B8">
        <f>IF(A8="","",meta!B9(A8))</f>
        <v/>
      </c>
      <c r="C8">
        <f>IF(A8="","",meta!B14(B8))</f>
        <v/>
      </c>
      <c r="D8">
        <f>IF(A8="","",IF(meta!B17(B8),"ERR","OK"))</f>
        <v/>
      </c>
      <c r="E8">
        <f>IF(A8="","",tests!D8)</f>
        <v/>
      </c>
      <c r="F8">
        <f>IF(A8="","",IFERROR(C8=E8,FALSE))</f>
        <v/>
      </c>
    </row>
    <row r="9">
      <c r="A9">
        <f>IF(tests!A9="","",tests!B9)</f>
        <v/>
      </c>
      <c r="B9">
        <f>IF(A9="","",meta!B9(A9))</f>
        <v/>
      </c>
      <c r="C9">
        <f>IF(A9="","",meta!B14(B9))</f>
        <v/>
      </c>
      <c r="D9">
        <f>IF(A9="","",IF(meta!B17(B9),"ERR","OK"))</f>
        <v/>
      </c>
      <c r="E9">
        <f>IF(A9="","",tests!D9)</f>
        <v/>
      </c>
      <c r="F9">
        <f>IF(A9="","",IFERROR(C9=E9,FALSE))</f>
        <v/>
      </c>
    </row>
    <row r="10">
      <c r="A10">
        <f>IF(tests!A10="","",tests!B10)</f>
        <v/>
      </c>
      <c r="B10">
        <f>IF(A10="","",meta!B9(A10))</f>
        <v/>
      </c>
      <c r="C10">
        <f>IF(A10="","",meta!B14(B10))</f>
        <v/>
      </c>
      <c r="D10">
        <f>IF(A10="","",IF(meta!B17(B10),"ERR","OK"))</f>
        <v/>
      </c>
      <c r="E10">
        <f>IF(A10="","",tests!D10)</f>
        <v/>
      </c>
      <c r="F10">
        <f>IF(A10="","",IFERROR(C10=E10,FALSE))</f>
        <v/>
      </c>
    </row>
    <row r="11">
      <c r="A11">
        <f>IF(tests!A11="","",tests!B11)</f>
        <v/>
      </c>
      <c r="B11">
        <f>IF(A11="","",meta!B9(A11))</f>
        <v/>
      </c>
      <c r="C11">
        <f>IF(A11="","",meta!B14(B11))</f>
        <v/>
      </c>
      <c r="D11">
        <f>IF(A11="","",IF(meta!B17(B11),"ERR","OK"))</f>
        <v/>
      </c>
      <c r="E11">
        <f>IF(A11="","",tests!D11)</f>
        <v/>
      </c>
      <c r="F11">
        <f>IF(A11="","",IFERROR(C11=E11,FALSE))</f>
        <v/>
      </c>
    </row>
    <row r="12">
      <c r="A12">
        <f>IF(tests!A12="","",tests!B12)</f>
        <v/>
      </c>
      <c r="B12">
        <f>IF(A12="","",meta!B9(A12))</f>
        <v/>
      </c>
      <c r="C12">
        <f>IF(A12="","",meta!B14(B12))</f>
        <v/>
      </c>
      <c r="D12">
        <f>IF(A12="","",IF(meta!B17(B12),"ERR","OK"))</f>
        <v/>
      </c>
      <c r="E12">
        <f>IF(A12="","",tests!D12)</f>
        <v/>
      </c>
      <c r="F12">
        <f>IF(A12="","",IFERROR(C12=E12,FALSE))</f>
        <v/>
      </c>
    </row>
    <row r="13">
      <c r="A13">
        <f>IF(tests!A13="","",tests!B13)</f>
        <v/>
      </c>
      <c r="B13">
        <f>IF(A13="","",meta!B9(A13))</f>
        <v/>
      </c>
      <c r="C13">
        <f>IF(A13="","",meta!B14(B13))</f>
        <v/>
      </c>
      <c r="D13">
        <f>IF(A13="","",IF(meta!B17(B13),"ERR","OK"))</f>
        <v/>
      </c>
      <c r="E13">
        <f>IF(A13="","",tests!D13)</f>
        <v/>
      </c>
      <c r="F13">
        <f>IF(A13="","",IFERROR(C13=E13,FALSE))</f>
        <v/>
      </c>
    </row>
    <row r="14">
      <c r="A14">
        <f>IF(tests!A14="","",tests!B14)</f>
        <v/>
      </c>
      <c r="B14">
        <f>IF(A14="","",meta!B9(A14))</f>
        <v/>
      </c>
      <c r="C14">
        <f>IF(A14="","",meta!B14(B14))</f>
        <v/>
      </c>
      <c r="D14">
        <f>IF(A14="","",IF(meta!B17(B14),"ERR","OK"))</f>
        <v/>
      </c>
      <c r="E14">
        <f>IF(A14="","",tests!D14)</f>
        <v/>
      </c>
      <c r="F14">
        <f>IF(A14="","",IFERROR(C14=E14,FALSE))</f>
        <v/>
      </c>
    </row>
    <row r="15">
      <c r="A15">
        <f>IF(tests!A15="","",tests!B15)</f>
        <v/>
      </c>
      <c r="B15">
        <f>IF(A15="","",meta!B9(A15))</f>
        <v/>
      </c>
      <c r="C15">
        <f>IF(A15="","",meta!B14(B15))</f>
        <v/>
      </c>
      <c r="D15">
        <f>IF(A15="","",IF(meta!B17(B15),"ERR","OK"))</f>
        <v/>
      </c>
      <c r="E15">
        <f>IF(A15="","",tests!D15)</f>
        <v/>
      </c>
      <c r="F15">
        <f>IF(A15="","",IFERROR(C15=E15,FALSE))</f>
        <v/>
      </c>
    </row>
    <row r="16">
      <c r="A16">
        <f>IF(tests!A16="","",tests!B16)</f>
        <v/>
      </c>
      <c r="B16">
        <f>IF(A16="","",meta!B9(A16))</f>
        <v/>
      </c>
      <c r="C16">
        <f>IF(A16="","",meta!B14(B16))</f>
        <v/>
      </c>
      <c r="D16">
        <f>IF(A16="","",IF(meta!B17(B16),"ERR","OK"))</f>
        <v/>
      </c>
      <c r="E16">
        <f>IF(A16="","",tests!D16)</f>
        <v/>
      </c>
      <c r="F16">
        <f>IF(A16="","",IFERROR(C16=E16,FALSE))</f>
        <v/>
      </c>
    </row>
    <row r="17">
      <c r="A17">
        <f>IF(tests!A17="","",tests!B17)</f>
        <v/>
      </c>
      <c r="B17">
        <f>IF(A17="","",meta!B9(A17))</f>
        <v/>
      </c>
      <c r="C17">
        <f>IF(A17="","",meta!B14(B17))</f>
        <v/>
      </c>
      <c r="D17">
        <f>IF(A17="","",IF(meta!B17(B17),"ERR","OK"))</f>
        <v/>
      </c>
      <c r="E17">
        <f>IF(A17="","",tests!D17)</f>
        <v/>
      </c>
      <c r="F17">
        <f>IF(A17="","",IFERROR(C17=E17,FALSE))</f>
        <v/>
      </c>
    </row>
    <row r="18">
      <c r="A18">
        <f>IF(tests!A18="","",tests!B18)</f>
        <v/>
      </c>
      <c r="B18">
        <f>IF(A18="","",meta!B9(A18))</f>
        <v/>
      </c>
      <c r="C18">
        <f>IF(A18="","",meta!B14(B18))</f>
        <v/>
      </c>
      <c r="D18">
        <f>IF(A18="","",IF(meta!B17(B18),"ERR","OK"))</f>
        <v/>
      </c>
      <c r="E18">
        <f>IF(A18="","",tests!D18)</f>
        <v/>
      </c>
      <c r="F18">
        <f>IF(A18="","",IFERROR(C18=E18,FALSE))</f>
        <v/>
      </c>
    </row>
    <row r="19">
      <c r="A19">
        <f>IF(tests!A19="","",tests!B19)</f>
        <v/>
      </c>
      <c r="B19">
        <f>IF(A19="","",meta!B9(A19))</f>
        <v/>
      </c>
      <c r="C19">
        <f>IF(A19="","",meta!B14(B19))</f>
        <v/>
      </c>
      <c r="D19">
        <f>IF(A19="","",IF(meta!B17(B19),"ERR","OK"))</f>
        <v/>
      </c>
      <c r="E19">
        <f>IF(A19="","",tests!D19)</f>
        <v/>
      </c>
      <c r="F19">
        <f>IF(A19="","",IFERROR(C19=E19,FALSE))</f>
        <v/>
      </c>
    </row>
    <row r="20">
      <c r="A20">
        <f>IF(tests!A20="","",tests!B20)</f>
        <v/>
      </c>
      <c r="B20">
        <f>IF(A20="","",meta!B9(A20))</f>
        <v/>
      </c>
      <c r="C20">
        <f>IF(A20="","",meta!B14(B20))</f>
        <v/>
      </c>
      <c r="D20">
        <f>IF(A20="","",IF(meta!B17(B20),"ERR","OK"))</f>
        <v/>
      </c>
      <c r="E20">
        <f>IF(A20="","",tests!D20)</f>
        <v/>
      </c>
      <c r="F20">
        <f>IF(A20="","",IFERROR(C20=E20,FALSE))</f>
        <v/>
      </c>
    </row>
    <row r="21">
      <c r="A21">
        <f>IF(tests!A21="","",tests!B21)</f>
        <v/>
      </c>
      <c r="B21">
        <f>IF(A21="","",meta!B9(A21))</f>
        <v/>
      </c>
      <c r="C21">
        <f>IF(A21="","",meta!B14(B21))</f>
        <v/>
      </c>
      <c r="D21">
        <f>IF(A21="","",IF(meta!B17(B21),"ERR","OK"))</f>
        <v/>
      </c>
      <c r="E21">
        <f>IF(A21="","",tests!D21)</f>
        <v/>
      </c>
      <c r="F21">
        <f>IF(A21="","",IFERROR(C21=E21,FALSE))</f>
        <v/>
      </c>
    </row>
    <row r="22">
      <c r="A22">
        <f>IF(tests!A22="","",tests!B22)</f>
        <v/>
      </c>
      <c r="B22">
        <f>IF(A22="","",meta!B9(A22))</f>
        <v/>
      </c>
      <c r="C22">
        <f>IF(A22="","",meta!B14(B22))</f>
        <v/>
      </c>
      <c r="D22">
        <f>IF(A22="","",IF(meta!B17(B22),"ERR","OK"))</f>
        <v/>
      </c>
      <c r="E22">
        <f>IF(A22="","",tests!D22)</f>
        <v/>
      </c>
      <c r="F22">
        <f>IF(A22="","",IFERROR(C22=E22,FALSE))</f>
        <v/>
      </c>
    </row>
    <row r="23">
      <c r="A23">
        <f>IF(tests!A23="","",tests!B23)</f>
        <v/>
      </c>
      <c r="B23">
        <f>IF(A23="","",meta!B9(A23))</f>
        <v/>
      </c>
      <c r="C23">
        <f>IF(A23="","",meta!B14(B23))</f>
        <v/>
      </c>
      <c r="D23">
        <f>IF(A23="","",IF(meta!B17(B23),"ERR","OK"))</f>
        <v/>
      </c>
      <c r="E23">
        <f>IF(A23="","",tests!D23)</f>
        <v/>
      </c>
      <c r="F23">
        <f>IF(A23="","",IFERROR(C23=E23,FALSE))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module</t>
        </is>
      </c>
      <c r="B1" s="2" t="inlineStr">
        <is>
          <t>kind</t>
        </is>
      </c>
      <c r="C1" s="2" t="inlineStr">
        <is>
          <t>surface</t>
        </is>
      </c>
      <c r="D1" s="2" t="inlineStr">
        <is>
          <t>aliases</t>
        </is>
      </c>
      <c r="E1" s="2" t="inlineStr">
        <is>
          <t>compat</t>
        </is>
      </c>
      <c r="F1" s="2" t="inlineStr">
        <is>
          <t>io_policy</t>
        </is>
      </c>
      <c r="G1" s="2" t="inlineStr">
        <is>
          <t>status</t>
        </is>
      </c>
    </row>
    <row r="2">
      <c r="A2" t="inlineStr">
        <is>
          <t>path</t>
        </is>
      </c>
      <c r="B2" t="inlineStr">
        <is>
          <t>sync</t>
        </is>
      </c>
      <c r="C2" t="inlineStr">
        <is>
          <t>path operations</t>
        </is>
      </c>
      <c r="D2" t="inlineStr">
        <is>
          <t>node:path</t>
        </is>
      </c>
      <c r="E2" t="inlineStr">
        <is>
          <t>node-compatible</t>
        </is>
      </c>
      <c r="F2" t="inlineStr">
        <is>
          <t>pure</t>
        </is>
      </c>
      <c r="G2" t="inlineStr">
        <is>
          <t>implemented</t>
        </is>
      </c>
    </row>
    <row r="3">
      <c r="A3" t="inlineStr">
        <is>
          <t>math</t>
        </is>
      </c>
      <c r="B3" t="inlineStr">
        <is>
          <t>sync</t>
        </is>
      </c>
      <c r="C3" t="inlineStr">
        <is>
          <t>numeric helpers</t>
        </is>
      </c>
      <c r="D3" t="inlineStr">
        <is>
          <t>Math subset</t>
        </is>
      </c>
      <c r="E3" t="inlineStr">
        <is>
          <t>workbook-native</t>
        </is>
      </c>
      <c r="F3" t="inlineStr">
        <is>
          <t>pure</t>
        </is>
      </c>
      <c r="G3" t="inlineStr">
        <is>
          <t>implemented</t>
        </is>
      </c>
    </row>
    <row r="4">
      <c r="A4" t="inlineStr">
        <is>
          <t>url</t>
        </is>
      </c>
      <c r="B4" t="inlineStr">
        <is>
          <t>sync</t>
        </is>
      </c>
      <c r="C4" t="inlineStr">
        <is>
          <t>URL parsing/resolution</t>
        </is>
      </c>
      <c r="D4" t="inlineStr">
        <is>
          <t>node:url</t>
        </is>
      </c>
      <c r="E4" t="inlineStr">
        <is>
          <t>partial</t>
        </is>
      </c>
      <c r="F4" t="inlineStr">
        <is>
          <t>pure</t>
        </is>
      </c>
      <c r="G4" t="inlineStr">
        <is>
          <t>implemented</t>
        </is>
      </c>
    </row>
    <row r="5">
      <c r="A5" t="inlineStr">
        <is>
          <t>semver</t>
        </is>
      </c>
      <c r="B5" t="inlineStr">
        <is>
          <t>sync</t>
        </is>
      </c>
      <c r="C5" t="inlineStr">
        <is>
          <t>version parsing</t>
        </is>
      </c>
      <c r="D5" t="inlineStr">
        <is>
          <t>bun semver subset</t>
        </is>
      </c>
      <c r="E5" t="inlineStr">
        <is>
          <t>partial</t>
        </is>
      </c>
      <c r="F5" t="inlineStr">
        <is>
          <t>pure</t>
        </is>
      </c>
      <c r="G5" t="inlineStr">
        <is>
          <t>implemented</t>
        </is>
      </c>
    </row>
    <row r="6">
      <c r="A6" t="inlineStr">
        <is>
          <t>date</t>
        </is>
      </c>
      <c r="B6" t="inlineStr">
        <is>
          <t>sync</t>
        </is>
      </c>
      <c r="C6" t="inlineStr">
        <is>
          <t>date helpers</t>
        </is>
      </c>
      <c r="D6" t="inlineStr">
        <is>
          <t>Date subset</t>
        </is>
      </c>
      <c r="E6" t="inlineStr">
        <is>
          <t>partial</t>
        </is>
      </c>
      <c r="F6" t="inlineStr">
        <is>
          <t>pure</t>
        </is>
      </c>
      <c r="G6" t="inlineStr">
        <is>
          <t>implemented</t>
        </is>
      </c>
    </row>
    <row r="7">
      <c r="A7" t="inlineStr">
        <is>
          <t>promise</t>
        </is>
      </c>
      <c r="B7" t="inlineStr">
        <is>
          <t>async-sim</t>
        </is>
      </c>
      <c r="C7" t="inlineStr">
        <is>
          <t>promise state envelope</t>
        </is>
      </c>
      <c r="D7" t="inlineStr">
        <is>
          <t>Promise subset</t>
        </is>
      </c>
      <c r="E7" t="inlineStr">
        <is>
          <t>simulated</t>
        </is>
      </c>
      <c r="F7" t="inlineStr">
        <is>
          <t>state-table</t>
        </is>
      </c>
      <c r="G7" t="inlineStr">
        <is>
          <t>implemented</t>
        </is>
      </c>
    </row>
    <row r="8">
      <c r="A8" t="inlineStr">
        <is>
          <t>fs</t>
        </is>
      </c>
      <c r="B8" t="inlineStr">
        <is>
          <t>io-sim</t>
        </is>
      </c>
      <c r="C8" t="inlineStr">
        <is>
          <t>file reads</t>
        </is>
      </c>
      <c r="D8" t="inlineStr">
        <is>
          <t>Bun.file/fs subset</t>
        </is>
      </c>
      <c r="E8" t="inlineStr">
        <is>
          <t>simulated</t>
        </is>
      </c>
      <c r="F8" t="inlineStr">
        <is>
          <t>runtime_io lookup</t>
        </is>
      </c>
      <c r="G8" t="inlineStr">
        <is>
          <t>implemented</t>
        </is>
      </c>
    </row>
    <row r="9">
      <c r="A9" t="inlineStr">
        <is>
          <t>process</t>
        </is>
      </c>
      <c r="B9" t="inlineStr">
        <is>
          <t>io-sim</t>
        </is>
      </c>
      <c r="C9" t="inlineStr">
        <is>
          <t>process state</t>
        </is>
      </c>
      <c r="D9" t="inlineStr">
        <is>
          <t>process subset</t>
        </is>
      </c>
      <c r="E9" t="inlineStr">
        <is>
          <t>simulated</t>
        </is>
      </c>
      <c r="F9" t="inlineStr">
        <is>
          <t>runtime_io lookup</t>
        </is>
      </c>
      <c r="G9" t="inlineStr">
        <is>
          <t>implemented</t>
        </is>
      </c>
    </row>
    <row r="10">
      <c r="A10" t="inlineStr">
        <is>
          <t>network</t>
        </is>
      </c>
      <c r="B10" t="inlineStr">
        <is>
          <t>io-sim</t>
        </is>
      </c>
      <c r="C10" t="inlineStr">
        <is>
          <t>fetch response</t>
        </is>
      </c>
      <c r="D10" t="inlineStr">
        <is>
          <t>fetch subset</t>
        </is>
      </c>
      <c r="E10" t="inlineStr">
        <is>
          <t>simulated</t>
        </is>
      </c>
      <c r="F10" t="inlineStr">
        <is>
          <t>runtime_io lookup</t>
        </is>
      </c>
      <c r="G10" t="inlineStr">
        <is>
          <t>implemented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code</t>
        </is>
      </c>
      <c r="B1" s="2" t="inlineStr">
        <is>
          <t>envelope</t>
        </is>
      </c>
      <c r="C1" s="2" t="inlineStr">
        <is>
          <t>stage</t>
        </is>
      </c>
      <c r="D1" s="2" t="inlineStr">
        <is>
          <t>terminal</t>
        </is>
      </c>
      <c r="E1" s="2" t="inlineStr">
        <is>
          <t>meaning</t>
        </is>
      </c>
    </row>
    <row r="2">
      <c r="A2" t="inlineStr">
        <is>
          <t>#ERR: bad parse</t>
        </is>
      </c>
      <c r="B2">
        <f>meta!B13("bad parse")</f>
        <v/>
      </c>
      <c r="C2" t="inlineStr">
        <is>
          <t>parse</t>
        </is>
      </c>
      <c r="D2" t="b">
        <v>1</v>
      </c>
      <c r="E2" t="inlineStr">
        <is>
          <t>Expression cannot be parsed.</t>
        </is>
      </c>
    </row>
    <row r="3">
      <c r="A3" t="inlineStr">
        <is>
          <t>#ERR: max depth</t>
        </is>
      </c>
      <c r="B3">
        <f>meta!B13("max depth")</f>
        <v/>
      </c>
      <c r="C3" t="inlineStr">
        <is>
          <t>parse</t>
        </is>
      </c>
      <c r="D3" t="b">
        <v>1</v>
      </c>
      <c r="E3" t="inlineStr">
        <is>
          <t>Depth guard exceeded.</t>
        </is>
      </c>
    </row>
    <row r="4">
      <c r="A4" t="inlineStr">
        <is>
          <t>#ERR: unknown function</t>
        </is>
      </c>
      <c r="B4">
        <f>meta!B13("unknown function")</f>
        <v/>
      </c>
      <c r="C4" t="inlineStr">
        <is>
          <t>dispatch</t>
        </is>
      </c>
      <c r="D4" t="b">
        <v>1</v>
      </c>
      <c r="E4" t="inlineStr">
        <is>
          <t>Module/function is absent from functions table.</t>
        </is>
      </c>
    </row>
    <row r="5">
      <c r="A5" t="inlineStr">
        <is>
          <t>#ERR: invalid arity</t>
        </is>
      </c>
      <c r="B5">
        <f>meta!B13("invalid arity")</f>
        <v/>
      </c>
      <c r="C5" t="inlineStr">
        <is>
          <t>dispatch</t>
        </is>
      </c>
      <c r="D5" t="b">
        <v>1</v>
      </c>
      <c r="E5" t="inlineStr">
        <is>
          <t>Argument count is outside min/max metadata.</t>
        </is>
      </c>
    </row>
    <row r="6">
      <c r="A6" t="inlineStr">
        <is>
          <t>#ERR: invalid arg type</t>
        </is>
      </c>
      <c r="B6">
        <f>meta!B13("invalid arg type")</f>
        <v/>
      </c>
      <c r="C6" t="inlineStr">
        <is>
          <t>dispatch</t>
        </is>
      </c>
      <c r="D6" t="b">
        <v>1</v>
      </c>
      <c r="E6" t="inlineStr">
        <is>
          <t>Runtime argument type does not match metadata.</t>
        </is>
      </c>
    </row>
    <row r="7">
      <c r="A7" t="inlineStr">
        <is>
          <t>#ERR: async rejected</t>
        </is>
      </c>
      <c r="B7">
        <f>meta!B13("async rejected")</f>
        <v/>
      </c>
      <c r="C7" t="inlineStr">
        <is>
          <t>async</t>
        </is>
      </c>
      <c r="D7" t="b">
        <v>1</v>
      </c>
      <c r="E7" t="inlineStr">
        <is>
          <t>Simulated promise is rejected.</t>
        </is>
      </c>
    </row>
    <row r="8">
      <c r="A8" t="inlineStr">
        <is>
          <t>#ERR: io not found</t>
        </is>
      </c>
      <c r="B8">
        <f>meta!B13("io not found")</f>
        <v/>
      </c>
      <c r="C8" t="inlineStr">
        <is>
          <t>io</t>
        </is>
      </c>
      <c r="D8" t="b">
        <v>1</v>
      </c>
      <c r="E8" t="inlineStr">
        <is>
          <t>Pure IO simulation has no matching fixture row.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kind</t>
        </is>
      </c>
      <c r="C1" s="2" t="inlineStr">
        <is>
          <t>key</t>
        </is>
      </c>
      <c r="D1" s="2" t="inlineStr">
        <is>
          <t>payload</t>
        </is>
      </c>
      <c r="E1" s="2" t="inlineStr">
        <is>
          <t>exists</t>
        </is>
      </c>
      <c r="F1" s="2" t="inlineStr">
        <is>
          <t>notes</t>
        </is>
      </c>
    </row>
    <row r="2">
      <c r="A2" t="inlineStr">
        <is>
          <t>file:readme</t>
        </is>
      </c>
      <c r="B2" t="inlineStr">
        <is>
          <t>file</t>
        </is>
      </c>
      <c r="C2" t="inlineStr">
        <is>
          <t>/workspace/README.md</t>
        </is>
      </c>
      <c r="D2" t="inlineStr">
        <is>
          <t>Bun workbook runtime fixture</t>
        </is>
      </c>
      <c r="E2" t="b">
        <v>1</v>
      </c>
      <c r="F2" t="inlineStr">
        <is>
          <t>pure fs.readFile simulation</t>
        </is>
      </c>
    </row>
    <row r="3">
      <c r="A3" t="inlineStr">
        <is>
          <t>process:cwd</t>
        </is>
      </c>
      <c r="B3" t="inlineStr">
        <is>
          <t>process</t>
        </is>
      </c>
      <c r="C3" t="inlineStr">
        <is>
          <t>cwd</t>
        </is>
      </c>
      <c r="D3" t="inlineStr">
        <is>
          <t>/Users/a.mametyev/PycharmProjects/bun</t>
        </is>
      </c>
      <c r="E3" t="b">
        <v>1</v>
      </c>
      <c r="F3" t="inlineStr">
        <is>
          <t>process.cwd simulation</t>
        </is>
      </c>
    </row>
    <row r="4">
      <c r="A4" t="inlineStr">
        <is>
          <t>network:example</t>
        </is>
      </c>
      <c r="B4" t="inlineStr">
        <is>
          <t>network</t>
        </is>
      </c>
      <c r="C4" t="inlineStr">
        <is>
          <t>https://example.test/hello</t>
        </is>
      </c>
      <c r="D4" t="inlineStr">
        <is>
          <t>{"status":200,"body":"hello"}</t>
        </is>
      </c>
      <c r="E4" t="b">
        <v>1</v>
      </c>
      <c r="F4" t="inlineStr">
        <is>
          <t>network.fetch simulation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promise_id</t>
        </is>
      </c>
      <c r="B1" s="2" t="inlineStr">
        <is>
          <t>constructor</t>
        </is>
      </c>
      <c r="C1" s="2" t="inlineStr">
        <is>
          <t>state</t>
        </is>
      </c>
      <c r="D1" s="2" t="inlineStr">
        <is>
          <t>value</t>
        </is>
      </c>
      <c r="E1" s="2" t="inlineStr">
        <is>
          <t>reason</t>
        </is>
      </c>
      <c r="F1" s="2" t="inlineStr">
        <is>
          <t>state_envelope</t>
        </is>
      </c>
      <c r="G1" s="2" t="inlineStr">
        <is>
          <t>value_envelope</t>
        </is>
      </c>
    </row>
    <row r="2">
      <c r="A2" t="inlineStr">
        <is>
          <t>p1</t>
        </is>
      </c>
      <c r="B2" t="inlineStr">
        <is>
          <t>promise.resolve("ok")</t>
        </is>
      </c>
      <c r="C2" t="inlineStr">
        <is>
          <t>RESOLVED</t>
        </is>
      </c>
      <c r="D2" t="inlineStr">
        <is>
          <t>ok</t>
        </is>
      </c>
      <c r="F2">
        <f>meta!B12(C2)</f>
        <v/>
      </c>
      <c r="G2">
        <f>meta!B12(D2)</f>
        <v/>
      </c>
    </row>
    <row r="3">
      <c r="A3" t="inlineStr">
        <is>
          <t>p2</t>
        </is>
      </c>
      <c r="B3" t="inlineStr">
        <is>
          <t>promise.reject("fail")</t>
        </is>
      </c>
      <c r="C3" t="inlineStr">
        <is>
          <t>REJECTED</t>
        </is>
      </c>
      <c r="E3" t="inlineStr">
        <is>
          <t>fail</t>
        </is>
      </c>
      <c r="F3">
        <f>meta!B12(C3)</f>
        <v/>
      </c>
      <c r="G3">
        <f>meta!B13("async rejected",E3)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case</t>
        </is>
      </c>
      <c r="B1" s="2" t="inlineStr">
        <is>
          <t>expr</t>
        </is>
      </c>
      <c r="C1" s="2" t="inlineStr">
        <is>
          <t>typed_env</t>
        </is>
      </c>
      <c r="D1" s="2" t="inlineStr">
        <is>
          <t>type</t>
        </is>
      </c>
      <c r="E1" s="2" t="inlineStr">
        <is>
          <t>unwrapped</t>
        </is>
      </c>
      <c r="F1" s="2" t="inlineStr">
        <is>
          <t>is_error</t>
        </is>
      </c>
      <c r="G1" s="2" t="inlineStr">
        <is>
          <t>error_code</t>
        </is>
      </c>
      <c r="H1" s="2" t="inlineStr">
        <is>
          <t>expected</t>
        </is>
      </c>
      <c r="I1" s="2" t="inlineStr">
        <is>
          <t>pass</t>
        </is>
      </c>
    </row>
    <row r="2">
      <c r="A2">
        <f>IF(tests!A2="","",tests!A2)</f>
        <v/>
      </c>
      <c r="B2">
        <f>IF(A2="","",tests!B2)</f>
        <v/>
      </c>
      <c r="C2">
        <f>IF(A2="","",meta!B9(B2))</f>
        <v/>
      </c>
      <c r="D2">
        <f>IF(A2="","",meta!B15(C2))</f>
        <v/>
      </c>
      <c r="E2">
        <f>IF(A2="","",meta!B14(C2))</f>
        <v/>
      </c>
      <c r="F2">
        <f>IF(A2="","",meta!B17(C2))</f>
        <v/>
      </c>
      <c r="G2">
        <f>IF(A2="","",meta!B16(C2))</f>
        <v/>
      </c>
      <c r="H2">
        <f>IF(A2="","",tests!D2)</f>
        <v/>
      </c>
      <c r="I2">
        <f>IF(A2="","",IFERROR(E2=H2,FALSE))</f>
        <v/>
      </c>
    </row>
    <row r="3">
      <c r="A3">
        <f>IF(tests!A3="","",tests!A3)</f>
        <v/>
      </c>
      <c r="B3">
        <f>IF(A3="","",tests!B3)</f>
        <v/>
      </c>
      <c r="C3">
        <f>IF(A3="","",meta!B9(B3))</f>
        <v/>
      </c>
      <c r="D3">
        <f>IF(A3="","",meta!B15(C3))</f>
        <v/>
      </c>
      <c r="E3">
        <f>IF(A3="","",meta!B14(C3))</f>
        <v/>
      </c>
      <c r="F3">
        <f>IF(A3="","",meta!B17(C3))</f>
        <v/>
      </c>
      <c r="G3">
        <f>IF(A3="","",meta!B16(C3))</f>
        <v/>
      </c>
      <c r="H3">
        <f>IF(A3="","",tests!D3)</f>
        <v/>
      </c>
      <c r="I3">
        <f>IF(A3="","",IFERROR(E3=H3,FALSE))</f>
        <v/>
      </c>
    </row>
    <row r="4">
      <c r="A4">
        <f>IF(tests!A4="","",tests!A4)</f>
        <v/>
      </c>
      <c r="B4">
        <f>IF(A4="","",tests!B4)</f>
        <v/>
      </c>
      <c r="C4">
        <f>IF(A4="","",meta!B9(B4))</f>
        <v/>
      </c>
      <c r="D4">
        <f>IF(A4="","",meta!B15(C4))</f>
        <v/>
      </c>
      <c r="E4">
        <f>IF(A4="","",meta!B14(C4))</f>
        <v/>
      </c>
      <c r="F4">
        <f>IF(A4="","",meta!B17(C4))</f>
        <v/>
      </c>
      <c r="G4">
        <f>IF(A4="","",meta!B16(C4))</f>
        <v/>
      </c>
      <c r="H4">
        <f>IF(A4="","",tests!D4)</f>
        <v/>
      </c>
      <c r="I4">
        <f>IF(A4="","",IFERROR(E4=H4,FALSE))</f>
        <v/>
      </c>
    </row>
    <row r="5">
      <c r="A5">
        <f>IF(tests!A5="","",tests!A5)</f>
        <v/>
      </c>
      <c r="B5">
        <f>IF(A5="","",tests!B5)</f>
        <v/>
      </c>
      <c r="C5">
        <f>IF(A5="","",meta!B9(B5))</f>
        <v/>
      </c>
      <c r="D5">
        <f>IF(A5="","",meta!B15(C5))</f>
        <v/>
      </c>
      <c r="E5">
        <f>IF(A5="","",meta!B14(C5))</f>
        <v/>
      </c>
      <c r="F5">
        <f>IF(A5="","",meta!B17(C5))</f>
        <v/>
      </c>
      <c r="G5">
        <f>IF(A5="","",meta!B16(C5))</f>
        <v/>
      </c>
      <c r="H5">
        <f>IF(A5="","",tests!D5)</f>
        <v/>
      </c>
      <c r="I5">
        <f>IF(A5="","",IFERROR(E5=H5,FALSE))</f>
        <v/>
      </c>
    </row>
    <row r="6">
      <c r="A6">
        <f>IF(tests!A6="","",tests!A6)</f>
        <v/>
      </c>
      <c r="B6">
        <f>IF(A6="","",tests!B6)</f>
        <v/>
      </c>
      <c r="C6">
        <f>IF(A6="","",meta!B9(B6))</f>
        <v/>
      </c>
      <c r="D6">
        <f>IF(A6="","",meta!B15(C6))</f>
        <v/>
      </c>
      <c r="E6">
        <f>IF(A6="","",meta!B14(C6))</f>
        <v/>
      </c>
      <c r="F6">
        <f>IF(A6="","",meta!B17(C6))</f>
        <v/>
      </c>
      <c r="G6">
        <f>IF(A6="","",meta!B16(C6))</f>
        <v/>
      </c>
      <c r="H6">
        <f>IF(A6="","",tests!D6)</f>
        <v/>
      </c>
      <c r="I6">
        <f>IF(A6="","",IFERROR(E6=H6,FALSE))</f>
        <v/>
      </c>
    </row>
    <row r="7">
      <c r="A7">
        <f>IF(tests!A7="","",tests!A7)</f>
        <v/>
      </c>
      <c r="B7">
        <f>IF(A7="","",tests!B7)</f>
        <v/>
      </c>
      <c r="C7">
        <f>IF(A7="","",meta!B9(B7))</f>
        <v/>
      </c>
      <c r="D7">
        <f>IF(A7="","",meta!B15(C7))</f>
        <v/>
      </c>
      <c r="E7">
        <f>IF(A7="","",meta!B14(C7))</f>
        <v/>
      </c>
      <c r="F7">
        <f>IF(A7="","",meta!B17(C7))</f>
        <v/>
      </c>
      <c r="G7">
        <f>IF(A7="","",meta!B16(C7))</f>
        <v/>
      </c>
      <c r="H7">
        <f>IF(A7="","",tests!D7)</f>
        <v/>
      </c>
      <c r="I7">
        <f>IF(A7="","",IFERROR(E7=H7,FALSE))</f>
        <v/>
      </c>
    </row>
    <row r="8">
      <c r="A8">
        <f>IF(tests!A8="","",tests!A8)</f>
        <v/>
      </c>
      <c r="B8">
        <f>IF(A8="","",tests!B8)</f>
        <v/>
      </c>
      <c r="C8">
        <f>IF(A8="","",meta!B9(B8))</f>
        <v/>
      </c>
      <c r="D8">
        <f>IF(A8="","",meta!B15(C8))</f>
        <v/>
      </c>
      <c r="E8">
        <f>IF(A8="","",meta!B14(C8))</f>
        <v/>
      </c>
      <c r="F8">
        <f>IF(A8="","",meta!B17(C8))</f>
        <v/>
      </c>
      <c r="G8">
        <f>IF(A8="","",meta!B16(C8))</f>
        <v/>
      </c>
      <c r="H8">
        <f>IF(A8="","",tests!D8)</f>
        <v/>
      </c>
      <c r="I8">
        <f>IF(A8="","",IFERROR(E8=H8,FALSE))</f>
        <v/>
      </c>
    </row>
    <row r="9">
      <c r="A9">
        <f>IF(tests!A9="","",tests!A9)</f>
        <v/>
      </c>
      <c r="B9">
        <f>IF(A9="","",tests!B9)</f>
        <v/>
      </c>
      <c r="C9">
        <f>IF(A9="","",meta!B9(B9))</f>
        <v/>
      </c>
      <c r="D9">
        <f>IF(A9="","",meta!B15(C9))</f>
        <v/>
      </c>
      <c r="E9">
        <f>IF(A9="","",meta!B14(C9))</f>
        <v/>
      </c>
      <c r="F9">
        <f>IF(A9="","",meta!B17(C9))</f>
        <v/>
      </c>
      <c r="G9">
        <f>IF(A9="","",meta!B16(C9))</f>
        <v/>
      </c>
      <c r="H9">
        <f>IF(A9="","",tests!D9)</f>
        <v/>
      </c>
      <c r="I9">
        <f>IF(A9="","",IFERROR(E9=H9,FALSE))</f>
        <v/>
      </c>
    </row>
    <row r="10">
      <c r="A10">
        <f>IF(tests!A10="","",tests!A10)</f>
        <v/>
      </c>
      <c r="B10">
        <f>IF(A10="","",tests!B10)</f>
        <v/>
      </c>
      <c r="C10">
        <f>IF(A10="","",meta!B9(B10))</f>
        <v/>
      </c>
      <c r="D10">
        <f>IF(A10="","",meta!B15(C10))</f>
        <v/>
      </c>
      <c r="E10">
        <f>IF(A10="","",meta!B14(C10))</f>
        <v/>
      </c>
      <c r="F10">
        <f>IF(A10="","",meta!B17(C10))</f>
        <v/>
      </c>
      <c r="G10">
        <f>IF(A10="","",meta!B16(C10))</f>
        <v/>
      </c>
      <c r="H10">
        <f>IF(A10="","",tests!D10)</f>
        <v/>
      </c>
      <c r="I10">
        <f>IF(A10="","",IFERROR(E10=H10,FALSE))</f>
        <v/>
      </c>
    </row>
    <row r="11">
      <c r="A11">
        <f>IF(tests!A11="","",tests!A11)</f>
        <v/>
      </c>
      <c r="B11">
        <f>IF(A11="","",tests!B11)</f>
        <v/>
      </c>
      <c r="C11">
        <f>IF(A11="","",meta!B9(B11))</f>
        <v/>
      </c>
      <c r="D11">
        <f>IF(A11="","",meta!B15(C11))</f>
        <v/>
      </c>
      <c r="E11">
        <f>IF(A11="","",meta!B14(C11))</f>
        <v/>
      </c>
      <c r="F11">
        <f>IF(A11="","",meta!B17(C11))</f>
        <v/>
      </c>
      <c r="G11">
        <f>IF(A11="","",meta!B16(C11))</f>
        <v/>
      </c>
      <c r="H11">
        <f>IF(A11="","",tests!D11)</f>
        <v/>
      </c>
      <c r="I11">
        <f>IF(A11="","",IFERROR(E11=H11,FALSE))</f>
        <v/>
      </c>
    </row>
    <row r="12">
      <c r="A12">
        <f>IF(tests!A12="","",tests!A12)</f>
        <v/>
      </c>
      <c r="B12">
        <f>IF(A12="","",tests!B12)</f>
        <v/>
      </c>
      <c r="C12">
        <f>IF(A12="","",meta!B9(B12))</f>
        <v/>
      </c>
      <c r="D12">
        <f>IF(A12="","",meta!B15(C12))</f>
        <v/>
      </c>
      <c r="E12">
        <f>IF(A12="","",meta!B14(C12))</f>
        <v/>
      </c>
      <c r="F12">
        <f>IF(A12="","",meta!B17(C12))</f>
        <v/>
      </c>
      <c r="G12">
        <f>IF(A12="","",meta!B16(C12))</f>
        <v/>
      </c>
      <c r="H12">
        <f>IF(A12="","",tests!D12)</f>
        <v/>
      </c>
      <c r="I12">
        <f>IF(A12="","",IFERROR(E12=H12,FALSE))</f>
        <v/>
      </c>
    </row>
    <row r="13">
      <c r="A13">
        <f>IF(tests!A13="","",tests!A13)</f>
        <v/>
      </c>
      <c r="B13">
        <f>IF(A13="","",tests!B13)</f>
        <v/>
      </c>
      <c r="C13">
        <f>IF(A13="","",meta!B9(B13))</f>
        <v/>
      </c>
      <c r="D13">
        <f>IF(A13="","",meta!B15(C13))</f>
        <v/>
      </c>
      <c r="E13">
        <f>IF(A13="","",meta!B14(C13))</f>
        <v/>
      </c>
      <c r="F13">
        <f>IF(A13="","",meta!B17(C13))</f>
        <v/>
      </c>
      <c r="G13">
        <f>IF(A13="","",meta!B16(C13))</f>
        <v/>
      </c>
      <c r="H13">
        <f>IF(A13="","",tests!D13)</f>
        <v/>
      </c>
      <c r="I13">
        <f>IF(A13="","",IFERROR(E13=H13,FALSE))</f>
        <v/>
      </c>
    </row>
    <row r="14">
      <c r="A14">
        <f>IF(tests!A14="","",tests!A14)</f>
        <v/>
      </c>
      <c r="B14">
        <f>IF(A14="","",tests!B14)</f>
        <v/>
      </c>
      <c r="C14">
        <f>IF(A14="","",meta!B9(B14))</f>
        <v/>
      </c>
      <c r="D14">
        <f>IF(A14="","",meta!B15(C14))</f>
        <v/>
      </c>
      <c r="E14">
        <f>IF(A14="","",meta!B14(C14))</f>
        <v/>
      </c>
      <c r="F14">
        <f>IF(A14="","",meta!B17(C14))</f>
        <v/>
      </c>
      <c r="G14">
        <f>IF(A14="","",meta!B16(C14))</f>
        <v/>
      </c>
      <c r="H14">
        <f>IF(A14="","",tests!D14)</f>
        <v/>
      </c>
      <c r="I14">
        <f>IF(A14="","",IFERROR(E14=H14,FALSE))</f>
        <v/>
      </c>
    </row>
    <row r="15">
      <c r="A15">
        <f>IF(tests!A15="","",tests!A15)</f>
        <v/>
      </c>
      <c r="B15">
        <f>IF(A15="","",tests!B15)</f>
        <v/>
      </c>
      <c r="C15">
        <f>IF(A15="","",meta!B9(B15))</f>
        <v/>
      </c>
      <c r="D15">
        <f>IF(A15="","",meta!B15(C15))</f>
        <v/>
      </c>
      <c r="E15">
        <f>IF(A15="","",meta!B14(C15))</f>
        <v/>
      </c>
      <c r="F15">
        <f>IF(A15="","",meta!B17(C15))</f>
        <v/>
      </c>
      <c r="G15">
        <f>IF(A15="","",meta!B16(C15))</f>
        <v/>
      </c>
      <c r="H15">
        <f>IF(A15="","",tests!D15)</f>
        <v/>
      </c>
      <c r="I15">
        <f>IF(A15="","",IFERROR(E15=H15,FALSE))</f>
        <v/>
      </c>
    </row>
    <row r="16">
      <c r="A16">
        <f>IF(tests!A16="","",tests!A16)</f>
        <v/>
      </c>
      <c r="B16">
        <f>IF(A16="","",tests!B16)</f>
        <v/>
      </c>
      <c r="C16">
        <f>IF(A16="","",meta!B9(B16))</f>
        <v/>
      </c>
      <c r="D16">
        <f>IF(A16="","",meta!B15(C16))</f>
        <v/>
      </c>
      <c r="E16">
        <f>IF(A16="","",meta!B14(C16))</f>
        <v/>
      </c>
      <c r="F16">
        <f>IF(A16="","",meta!B17(C16))</f>
        <v/>
      </c>
      <c r="G16">
        <f>IF(A16="","",meta!B16(C16))</f>
        <v/>
      </c>
      <c r="H16">
        <f>IF(A16="","",tests!D16)</f>
        <v/>
      </c>
      <c r="I16">
        <f>IF(A16="","",IFERROR(E16=H16,FALSE))</f>
        <v/>
      </c>
    </row>
    <row r="17">
      <c r="A17">
        <f>IF(tests!A17="","",tests!A17)</f>
        <v/>
      </c>
      <c r="B17">
        <f>IF(A17="","",tests!B17)</f>
        <v/>
      </c>
      <c r="C17">
        <f>IF(A17="","",meta!B9(B17))</f>
        <v/>
      </c>
      <c r="D17">
        <f>IF(A17="","",meta!B15(C17))</f>
        <v/>
      </c>
      <c r="E17">
        <f>IF(A17="","",meta!B14(C17))</f>
        <v/>
      </c>
      <c r="F17">
        <f>IF(A17="","",meta!B17(C17))</f>
        <v/>
      </c>
      <c r="G17">
        <f>IF(A17="","",meta!B16(C17))</f>
        <v/>
      </c>
      <c r="H17">
        <f>IF(A17="","",tests!D17)</f>
        <v/>
      </c>
      <c r="I17">
        <f>IF(A17="","",IFERROR(E17=H17,FALSE))</f>
        <v/>
      </c>
    </row>
    <row r="18">
      <c r="A18">
        <f>IF(tests!A18="","",tests!A18)</f>
        <v/>
      </c>
      <c r="B18">
        <f>IF(A18="","",tests!B18)</f>
        <v/>
      </c>
      <c r="C18">
        <f>IF(A18="","",meta!B9(B18))</f>
        <v/>
      </c>
      <c r="D18">
        <f>IF(A18="","",meta!B15(C18))</f>
        <v/>
      </c>
      <c r="E18">
        <f>IF(A18="","",meta!B14(C18))</f>
        <v/>
      </c>
      <c r="F18">
        <f>IF(A18="","",meta!B17(C18))</f>
        <v/>
      </c>
      <c r="G18">
        <f>IF(A18="","",meta!B16(C18))</f>
        <v/>
      </c>
      <c r="H18">
        <f>IF(A18="","",tests!D18)</f>
        <v/>
      </c>
      <c r="I18">
        <f>IF(A18="","",IFERROR(E18=H18,FALSE))</f>
        <v/>
      </c>
    </row>
    <row r="19">
      <c r="A19">
        <f>IF(tests!A19="","",tests!A19)</f>
        <v/>
      </c>
      <c r="B19">
        <f>IF(A19="","",tests!B19)</f>
        <v/>
      </c>
      <c r="C19">
        <f>IF(A19="","",meta!B9(B19))</f>
        <v/>
      </c>
      <c r="D19">
        <f>IF(A19="","",meta!B15(C19))</f>
        <v/>
      </c>
      <c r="E19">
        <f>IF(A19="","",meta!B14(C19))</f>
        <v/>
      </c>
      <c r="F19">
        <f>IF(A19="","",meta!B17(C19))</f>
        <v/>
      </c>
      <c r="G19">
        <f>IF(A19="","",meta!B16(C19))</f>
        <v/>
      </c>
      <c r="H19">
        <f>IF(A19="","",tests!D19)</f>
        <v/>
      </c>
      <c r="I19">
        <f>IF(A19="","",IFERROR(E19=H19,FALSE))</f>
        <v/>
      </c>
    </row>
    <row r="20">
      <c r="A20">
        <f>IF(tests!A20="","",tests!A20)</f>
        <v/>
      </c>
      <c r="B20">
        <f>IF(A20="","",tests!B20)</f>
        <v/>
      </c>
      <c r="C20">
        <f>IF(A20="","",meta!B9(B20))</f>
        <v/>
      </c>
      <c r="D20">
        <f>IF(A20="","",meta!B15(C20))</f>
        <v/>
      </c>
      <c r="E20">
        <f>IF(A20="","",meta!B14(C20))</f>
        <v/>
      </c>
      <c r="F20">
        <f>IF(A20="","",meta!B17(C20))</f>
        <v/>
      </c>
      <c r="G20">
        <f>IF(A20="","",meta!B16(C20))</f>
        <v/>
      </c>
      <c r="H20">
        <f>IF(A20="","",tests!D20)</f>
        <v/>
      </c>
      <c r="I20">
        <f>IF(A20="","",IFERROR(E20=H20,FALSE))</f>
        <v/>
      </c>
    </row>
    <row r="21">
      <c r="A21">
        <f>IF(tests!A21="","",tests!A21)</f>
        <v/>
      </c>
      <c r="B21">
        <f>IF(A21="","",tests!B21)</f>
        <v/>
      </c>
      <c r="C21">
        <f>IF(A21="","",meta!B9(B21))</f>
        <v/>
      </c>
      <c r="D21">
        <f>IF(A21="","",meta!B15(C21))</f>
        <v/>
      </c>
      <c r="E21">
        <f>IF(A21="","",meta!B14(C21))</f>
        <v/>
      </c>
      <c r="F21">
        <f>IF(A21="","",meta!B17(C21))</f>
        <v/>
      </c>
      <c r="G21">
        <f>IF(A21="","",meta!B16(C21))</f>
        <v/>
      </c>
      <c r="H21">
        <f>IF(A21="","",tests!D21)</f>
        <v/>
      </c>
      <c r="I21">
        <f>IF(A21="","",IFERROR(E21=H21,FALSE))</f>
        <v/>
      </c>
    </row>
    <row r="22">
      <c r="A22">
        <f>IF(tests!A22="","",tests!A22)</f>
        <v/>
      </c>
      <c r="B22">
        <f>IF(A22="","",tests!B22)</f>
        <v/>
      </c>
      <c r="C22">
        <f>IF(A22="","",meta!B9(B22))</f>
        <v/>
      </c>
      <c r="D22">
        <f>IF(A22="","",meta!B15(C22))</f>
        <v/>
      </c>
      <c r="E22">
        <f>IF(A22="","",meta!B14(C22))</f>
        <v/>
      </c>
      <c r="F22">
        <f>IF(A22="","",meta!B17(C22))</f>
        <v/>
      </c>
      <c r="G22">
        <f>IF(A22="","",meta!B16(C22))</f>
        <v/>
      </c>
      <c r="H22">
        <f>IF(A22="","",tests!D22)</f>
        <v/>
      </c>
      <c r="I22">
        <f>IF(A22="","",IFERROR(E22=H22,FALSE))</f>
        <v/>
      </c>
    </row>
    <row r="23">
      <c r="A23">
        <f>IF(tests!A23="","",tests!A23)</f>
        <v/>
      </c>
      <c r="B23">
        <f>IF(A23="","",tests!B23)</f>
        <v/>
      </c>
      <c r="C23">
        <f>IF(A23="","",meta!B9(B23))</f>
        <v/>
      </c>
      <c r="D23">
        <f>IF(A23="","",meta!B15(C23))</f>
        <v/>
      </c>
      <c r="E23">
        <f>IF(A23="","",meta!B14(C23))</f>
        <v/>
      </c>
      <c r="F23">
        <f>IF(A23="","",meta!B17(C23))</f>
        <v/>
      </c>
      <c r="G23">
        <f>IF(A23="","",meta!B16(C23))</f>
        <v/>
      </c>
      <c r="H23">
        <f>IF(A23="","",tests!D23)</f>
        <v/>
      </c>
      <c r="I23">
        <f>IF(A23="","",IFERROR(E23=H23,FALSE))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frame_id</t>
        </is>
      </c>
      <c r="B1" s="2" t="inlineStr">
        <is>
          <t>test_case</t>
        </is>
      </c>
      <c r="C1" s="2" t="inlineStr">
        <is>
          <t>parent_id</t>
        </is>
      </c>
      <c r="D1" s="2" t="inlineStr">
        <is>
          <t>phase</t>
        </is>
      </c>
      <c r="E1" s="2" t="inlineStr">
        <is>
          <t>depth_estimate</t>
        </is>
      </c>
      <c r="F1" s="2" t="inlineStr">
        <is>
          <t>expr</t>
        </is>
      </c>
      <c r="G1" s="2" t="inlineStr">
        <is>
          <t>parsed_module</t>
        </is>
      </c>
      <c r="H1" s="2" t="inlineStr">
        <is>
          <t>parsed_fn</t>
        </is>
      </c>
      <c r="I1" s="2" t="inlineStr">
        <is>
          <t>arg_count</t>
        </is>
      </c>
      <c r="J1" s="2" t="inlineStr">
        <is>
          <t>typed_result</t>
        </is>
      </c>
      <c r="K1" s="2" t="inlineStr">
        <is>
          <t>unwrapped_result</t>
        </is>
      </c>
      <c r="L1" s="2" t="inlineStr">
        <is>
          <t>status</t>
        </is>
      </c>
      <c r="M1" s="2" t="inlineStr">
        <is>
          <t>budget_remaining</t>
        </is>
      </c>
    </row>
    <row r="2">
      <c r="A2">
        <f>IF(tests!A2="","","F"&amp;TEXT(ROW()-1,"000"))</f>
        <v/>
      </c>
      <c r="B2">
        <f>IF(A2="","",tests!A2)</f>
        <v/>
      </c>
      <c r="C2" t="inlineStr">
        <is>
          <t>ROOT</t>
        </is>
      </c>
      <c r="D2" t="inlineStr">
        <is>
          <t>eval</t>
        </is>
      </c>
      <c r="E2">
        <f>IF(A2="","",LEN(F2)-LEN(SUBSTITUTE(F2,"(","")))</f>
        <v/>
      </c>
      <c r="F2">
        <f>IF(A2="","",tests!B2)</f>
        <v/>
      </c>
      <c r="G2">
        <f>IF(A2="","",INDEX(meta!B7(F2),1))</f>
        <v/>
      </c>
      <c r="H2">
        <f>IF(A2="","",INDEX(meta!B7(F2),2))</f>
        <v/>
      </c>
      <c r="I2">
        <f>IF(A2="","",IFERROR(INDEX(meta!B7(F2),3),""))</f>
        <v/>
      </c>
      <c r="J2">
        <f>IF(A2="","",meta!B9(F2))</f>
        <v/>
      </c>
      <c r="K2">
        <f>IF(A2="","",meta!B14(J2))</f>
        <v/>
      </c>
      <c r="L2">
        <f>IF(A2="","",IF(meta!B17(J2),"ERR","OK"))</f>
        <v/>
      </c>
      <c r="M2">
        <f>IF(A2="","",64-E2)</f>
        <v/>
      </c>
    </row>
    <row r="3">
      <c r="A3">
        <f>IF(tests!A3="","","F"&amp;TEXT(ROW()-1,"000"))</f>
        <v/>
      </c>
      <c r="B3">
        <f>IF(A3="","",tests!A3)</f>
        <v/>
      </c>
      <c r="C3" t="inlineStr">
        <is>
          <t>ROOT</t>
        </is>
      </c>
      <c r="D3" t="inlineStr">
        <is>
          <t>eval</t>
        </is>
      </c>
      <c r="E3">
        <f>IF(A3="","",LEN(F3)-LEN(SUBSTITUTE(F3,"(","")))</f>
        <v/>
      </c>
      <c r="F3">
        <f>IF(A3="","",tests!B3)</f>
        <v/>
      </c>
      <c r="G3">
        <f>IF(A3="","",INDEX(meta!B7(F3),1))</f>
        <v/>
      </c>
      <c r="H3">
        <f>IF(A3="","",INDEX(meta!B7(F3),2))</f>
        <v/>
      </c>
      <c r="I3">
        <f>IF(A3="","",IFERROR(INDEX(meta!B7(F3),3),""))</f>
        <v/>
      </c>
      <c r="J3">
        <f>IF(A3="","",meta!B9(F3))</f>
        <v/>
      </c>
      <c r="K3">
        <f>IF(A3="","",meta!B14(J3))</f>
        <v/>
      </c>
      <c r="L3">
        <f>IF(A3="","",IF(meta!B17(J3),"ERR","OK"))</f>
        <v/>
      </c>
      <c r="M3">
        <f>IF(A3="","",64-E3)</f>
        <v/>
      </c>
    </row>
    <row r="4">
      <c r="A4">
        <f>IF(tests!A4="","","F"&amp;TEXT(ROW()-1,"000"))</f>
        <v/>
      </c>
      <c r="B4">
        <f>IF(A4="","",tests!A4)</f>
        <v/>
      </c>
      <c r="C4" t="inlineStr">
        <is>
          <t>ROOT</t>
        </is>
      </c>
      <c r="D4" t="inlineStr">
        <is>
          <t>eval</t>
        </is>
      </c>
      <c r="E4">
        <f>IF(A4="","",LEN(F4)-LEN(SUBSTITUTE(F4,"(","")))</f>
        <v/>
      </c>
      <c r="F4">
        <f>IF(A4="","",tests!B4)</f>
        <v/>
      </c>
      <c r="G4">
        <f>IF(A4="","",INDEX(meta!B7(F4),1))</f>
        <v/>
      </c>
      <c r="H4">
        <f>IF(A4="","",INDEX(meta!B7(F4),2))</f>
        <v/>
      </c>
      <c r="I4">
        <f>IF(A4="","",IFERROR(INDEX(meta!B7(F4),3),""))</f>
        <v/>
      </c>
      <c r="J4">
        <f>IF(A4="","",meta!B9(F4))</f>
        <v/>
      </c>
      <c r="K4">
        <f>IF(A4="","",meta!B14(J4))</f>
        <v/>
      </c>
      <c r="L4">
        <f>IF(A4="","",IF(meta!B17(J4),"ERR","OK"))</f>
        <v/>
      </c>
      <c r="M4">
        <f>IF(A4="","",64-E4)</f>
        <v/>
      </c>
    </row>
    <row r="5">
      <c r="A5">
        <f>IF(tests!A5="","","F"&amp;TEXT(ROW()-1,"000"))</f>
        <v/>
      </c>
      <c r="B5">
        <f>IF(A5="","",tests!A5)</f>
        <v/>
      </c>
      <c r="C5" t="inlineStr">
        <is>
          <t>ROOT</t>
        </is>
      </c>
      <c r="D5" t="inlineStr">
        <is>
          <t>eval</t>
        </is>
      </c>
      <c r="E5">
        <f>IF(A5="","",LEN(F5)-LEN(SUBSTITUTE(F5,"(","")))</f>
        <v/>
      </c>
      <c r="F5">
        <f>IF(A5="","",tests!B5)</f>
        <v/>
      </c>
      <c r="G5">
        <f>IF(A5="","",INDEX(meta!B7(F5),1))</f>
        <v/>
      </c>
      <c r="H5">
        <f>IF(A5="","",INDEX(meta!B7(F5),2))</f>
        <v/>
      </c>
      <c r="I5">
        <f>IF(A5="","",IFERROR(INDEX(meta!B7(F5),3),""))</f>
        <v/>
      </c>
      <c r="J5">
        <f>IF(A5="","",meta!B9(F5))</f>
        <v/>
      </c>
      <c r="K5">
        <f>IF(A5="","",meta!B14(J5))</f>
        <v/>
      </c>
      <c r="L5">
        <f>IF(A5="","",IF(meta!B17(J5),"ERR","OK"))</f>
        <v/>
      </c>
      <c r="M5">
        <f>IF(A5="","",64-E5)</f>
        <v/>
      </c>
    </row>
    <row r="6">
      <c r="A6">
        <f>IF(tests!A6="","","F"&amp;TEXT(ROW()-1,"000"))</f>
        <v/>
      </c>
      <c r="B6">
        <f>IF(A6="","",tests!A6)</f>
        <v/>
      </c>
      <c r="C6" t="inlineStr">
        <is>
          <t>ROOT</t>
        </is>
      </c>
      <c r="D6" t="inlineStr">
        <is>
          <t>eval</t>
        </is>
      </c>
      <c r="E6">
        <f>IF(A6="","",LEN(F6)-LEN(SUBSTITUTE(F6,"(","")))</f>
        <v/>
      </c>
      <c r="F6">
        <f>IF(A6="","",tests!B6)</f>
        <v/>
      </c>
      <c r="G6">
        <f>IF(A6="","",INDEX(meta!B7(F6),1))</f>
        <v/>
      </c>
      <c r="H6">
        <f>IF(A6="","",INDEX(meta!B7(F6),2))</f>
        <v/>
      </c>
      <c r="I6">
        <f>IF(A6="","",IFERROR(INDEX(meta!B7(F6),3),""))</f>
        <v/>
      </c>
      <c r="J6">
        <f>IF(A6="","",meta!B9(F6))</f>
        <v/>
      </c>
      <c r="K6">
        <f>IF(A6="","",meta!B14(J6))</f>
        <v/>
      </c>
      <c r="L6">
        <f>IF(A6="","",IF(meta!B17(J6),"ERR","OK"))</f>
        <v/>
      </c>
      <c r="M6">
        <f>IF(A6="","",64-E6)</f>
        <v/>
      </c>
    </row>
    <row r="7">
      <c r="A7">
        <f>IF(tests!A7="","","F"&amp;TEXT(ROW()-1,"000"))</f>
        <v/>
      </c>
      <c r="B7">
        <f>IF(A7="","",tests!A7)</f>
        <v/>
      </c>
      <c r="C7" t="inlineStr">
        <is>
          <t>ROOT</t>
        </is>
      </c>
      <c r="D7" t="inlineStr">
        <is>
          <t>eval</t>
        </is>
      </c>
      <c r="E7">
        <f>IF(A7="","",LEN(F7)-LEN(SUBSTITUTE(F7,"(","")))</f>
        <v/>
      </c>
      <c r="F7">
        <f>IF(A7="","",tests!B7)</f>
        <v/>
      </c>
      <c r="G7">
        <f>IF(A7="","",INDEX(meta!B7(F7),1))</f>
        <v/>
      </c>
      <c r="H7">
        <f>IF(A7="","",INDEX(meta!B7(F7),2))</f>
        <v/>
      </c>
      <c r="I7">
        <f>IF(A7="","",IFERROR(INDEX(meta!B7(F7),3),""))</f>
        <v/>
      </c>
      <c r="J7">
        <f>IF(A7="","",meta!B9(F7))</f>
        <v/>
      </c>
      <c r="K7">
        <f>IF(A7="","",meta!B14(J7))</f>
        <v/>
      </c>
      <c r="L7">
        <f>IF(A7="","",IF(meta!B17(J7),"ERR","OK"))</f>
        <v/>
      </c>
      <c r="M7">
        <f>IF(A7="","",64-E7)</f>
        <v/>
      </c>
    </row>
    <row r="8">
      <c r="A8">
        <f>IF(tests!A8="","","F"&amp;TEXT(ROW()-1,"000"))</f>
        <v/>
      </c>
      <c r="B8">
        <f>IF(A8="","",tests!A8)</f>
        <v/>
      </c>
      <c r="C8" t="inlineStr">
        <is>
          <t>ROOT</t>
        </is>
      </c>
      <c r="D8" t="inlineStr">
        <is>
          <t>eval</t>
        </is>
      </c>
      <c r="E8">
        <f>IF(A8="","",LEN(F8)-LEN(SUBSTITUTE(F8,"(","")))</f>
        <v/>
      </c>
      <c r="F8">
        <f>IF(A8="","",tests!B8)</f>
        <v/>
      </c>
      <c r="G8">
        <f>IF(A8="","",INDEX(meta!B7(F8),1))</f>
        <v/>
      </c>
      <c r="H8">
        <f>IF(A8="","",INDEX(meta!B7(F8),2))</f>
        <v/>
      </c>
      <c r="I8">
        <f>IF(A8="","",IFERROR(INDEX(meta!B7(F8),3),""))</f>
        <v/>
      </c>
      <c r="J8">
        <f>IF(A8="","",meta!B9(F8))</f>
        <v/>
      </c>
      <c r="K8">
        <f>IF(A8="","",meta!B14(J8))</f>
        <v/>
      </c>
      <c r="L8">
        <f>IF(A8="","",IF(meta!B17(J8),"ERR","OK"))</f>
        <v/>
      </c>
      <c r="M8">
        <f>IF(A8="","",64-E8)</f>
        <v/>
      </c>
    </row>
    <row r="9">
      <c r="A9">
        <f>IF(tests!A9="","","F"&amp;TEXT(ROW()-1,"000"))</f>
        <v/>
      </c>
      <c r="B9">
        <f>IF(A9="","",tests!A9)</f>
        <v/>
      </c>
      <c r="C9" t="inlineStr">
        <is>
          <t>ROOT</t>
        </is>
      </c>
      <c r="D9" t="inlineStr">
        <is>
          <t>eval</t>
        </is>
      </c>
      <c r="E9">
        <f>IF(A9="","",LEN(F9)-LEN(SUBSTITUTE(F9,"(","")))</f>
        <v/>
      </c>
      <c r="F9">
        <f>IF(A9="","",tests!B9)</f>
        <v/>
      </c>
      <c r="G9">
        <f>IF(A9="","",INDEX(meta!B7(F9),1))</f>
        <v/>
      </c>
      <c r="H9">
        <f>IF(A9="","",INDEX(meta!B7(F9),2))</f>
        <v/>
      </c>
      <c r="I9">
        <f>IF(A9="","",IFERROR(INDEX(meta!B7(F9),3),""))</f>
        <v/>
      </c>
      <c r="J9">
        <f>IF(A9="","",meta!B9(F9))</f>
        <v/>
      </c>
      <c r="K9">
        <f>IF(A9="","",meta!B14(J9))</f>
        <v/>
      </c>
      <c r="L9">
        <f>IF(A9="","",IF(meta!B17(J9),"ERR","OK"))</f>
        <v/>
      </c>
      <c r="M9">
        <f>IF(A9="","",64-E9)</f>
        <v/>
      </c>
    </row>
    <row r="10">
      <c r="A10">
        <f>IF(tests!A10="","","F"&amp;TEXT(ROW()-1,"000"))</f>
        <v/>
      </c>
      <c r="B10">
        <f>IF(A10="","",tests!A10)</f>
        <v/>
      </c>
      <c r="C10" t="inlineStr">
        <is>
          <t>ROOT</t>
        </is>
      </c>
      <c r="D10" t="inlineStr">
        <is>
          <t>eval</t>
        </is>
      </c>
      <c r="E10">
        <f>IF(A10="","",LEN(F10)-LEN(SUBSTITUTE(F10,"(","")))</f>
        <v/>
      </c>
      <c r="F10">
        <f>IF(A10="","",tests!B10)</f>
        <v/>
      </c>
      <c r="G10">
        <f>IF(A10="","",INDEX(meta!B7(F10),1))</f>
        <v/>
      </c>
      <c r="H10">
        <f>IF(A10="","",INDEX(meta!B7(F10),2))</f>
        <v/>
      </c>
      <c r="I10">
        <f>IF(A10="","",IFERROR(INDEX(meta!B7(F10),3),""))</f>
        <v/>
      </c>
      <c r="J10">
        <f>IF(A10="","",meta!B9(F10))</f>
        <v/>
      </c>
      <c r="K10">
        <f>IF(A10="","",meta!B14(J10))</f>
        <v/>
      </c>
      <c r="L10">
        <f>IF(A10="","",IF(meta!B17(J10),"ERR","OK"))</f>
        <v/>
      </c>
      <c r="M10">
        <f>IF(A10="","",64-E10)</f>
        <v/>
      </c>
    </row>
    <row r="11">
      <c r="A11">
        <f>IF(tests!A11="","","F"&amp;TEXT(ROW()-1,"000"))</f>
        <v/>
      </c>
      <c r="B11">
        <f>IF(A11="","",tests!A11)</f>
        <v/>
      </c>
      <c r="C11" t="inlineStr">
        <is>
          <t>ROOT</t>
        </is>
      </c>
      <c r="D11" t="inlineStr">
        <is>
          <t>eval</t>
        </is>
      </c>
      <c r="E11">
        <f>IF(A11="","",LEN(F11)-LEN(SUBSTITUTE(F11,"(","")))</f>
        <v/>
      </c>
      <c r="F11">
        <f>IF(A11="","",tests!B11)</f>
        <v/>
      </c>
      <c r="G11">
        <f>IF(A11="","",INDEX(meta!B7(F11),1))</f>
        <v/>
      </c>
      <c r="H11">
        <f>IF(A11="","",INDEX(meta!B7(F11),2))</f>
        <v/>
      </c>
      <c r="I11">
        <f>IF(A11="","",IFERROR(INDEX(meta!B7(F11),3),""))</f>
        <v/>
      </c>
      <c r="J11">
        <f>IF(A11="","",meta!B9(F11))</f>
        <v/>
      </c>
      <c r="K11">
        <f>IF(A11="","",meta!B14(J11))</f>
        <v/>
      </c>
      <c r="L11">
        <f>IF(A11="","",IF(meta!B17(J11),"ERR","OK"))</f>
        <v/>
      </c>
      <c r="M11">
        <f>IF(A11="","",64-E11)</f>
        <v/>
      </c>
    </row>
    <row r="12">
      <c r="A12">
        <f>IF(tests!A12="","","F"&amp;TEXT(ROW()-1,"000"))</f>
        <v/>
      </c>
      <c r="B12">
        <f>IF(A12="","",tests!A12)</f>
        <v/>
      </c>
      <c r="C12" t="inlineStr">
        <is>
          <t>ROOT</t>
        </is>
      </c>
      <c r="D12" t="inlineStr">
        <is>
          <t>eval</t>
        </is>
      </c>
      <c r="E12">
        <f>IF(A12="","",LEN(F12)-LEN(SUBSTITUTE(F12,"(","")))</f>
        <v/>
      </c>
      <c r="F12">
        <f>IF(A12="","",tests!B12)</f>
        <v/>
      </c>
      <c r="G12">
        <f>IF(A12="","",INDEX(meta!B7(F12),1))</f>
        <v/>
      </c>
      <c r="H12">
        <f>IF(A12="","",INDEX(meta!B7(F12),2))</f>
        <v/>
      </c>
      <c r="I12">
        <f>IF(A12="","",IFERROR(INDEX(meta!B7(F12),3),""))</f>
        <v/>
      </c>
      <c r="J12">
        <f>IF(A12="","",meta!B9(F12))</f>
        <v/>
      </c>
      <c r="K12">
        <f>IF(A12="","",meta!B14(J12))</f>
        <v/>
      </c>
      <c r="L12">
        <f>IF(A12="","",IF(meta!B17(J12),"ERR","OK"))</f>
        <v/>
      </c>
      <c r="M12">
        <f>IF(A12="","",64-E12)</f>
        <v/>
      </c>
    </row>
    <row r="13">
      <c r="A13">
        <f>IF(tests!A13="","","F"&amp;TEXT(ROW()-1,"000"))</f>
        <v/>
      </c>
      <c r="B13">
        <f>IF(A13="","",tests!A13)</f>
        <v/>
      </c>
      <c r="C13" t="inlineStr">
        <is>
          <t>ROOT</t>
        </is>
      </c>
      <c r="D13" t="inlineStr">
        <is>
          <t>eval</t>
        </is>
      </c>
      <c r="E13">
        <f>IF(A13="","",LEN(F13)-LEN(SUBSTITUTE(F13,"(","")))</f>
        <v/>
      </c>
      <c r="F13">
        <f>IF(A13="","",tests!B13)</f>
        <v/>
      </c>
      <c r="G13">
        <f>IF(A13="","",INDEX(meta!B7(F13),1))</f>
        <v/>
      </c>
      <c r="H13">
        <f>IF(A13="","",INDEX(meta!B7(F13),2))</f>
        <v/>
      </c>
      <c r="I13">
        <f>IF(A13="","",IFERROR(INDEX(meta!B7(F13),3),""))</f>
        <v/>
      </c>
      <c r="J13">
        <f>IF(A13="","",meta!B9(F13))</f>
        <v/>
      </c>
      <c r="K13">
        <f>IF(A13="","",meta!B14(J13))</f>
        <v/>
      </c>
      <c r="L13">
        <f>IF(A13="","",IF(meta!B17(J13),"ERR","OK"))</f>
        <v/>
      </c>
      <c r="M13">
        <f>IF(A13="","",64-E13)</f>
        <v/>
      </c>
    </row>
    <row r="14">
      <c r="A14">
        <f>IF(tests!A14="","","F"&amp;TEXT(ROW()-1,"000"))</f>
        <v/>
      </c>
      <c r="B14">
        <f>IF(A14="","",tests!A14)</f>
        <v/>
      </c>
      <c r="C14" t="inlineStr">
        <is>
          <t>ROOT</t>
        </is>
      </c>
      <c r="D14" t="inlineStr">
        <is>
          <t>eval</t>
        </is>
      </c>
      <c r="E14">
        <f>IF(A14="","",LEN(F14)-LEN(SUBSTITUTE(F14,"(","")))</f>
        <v/>
      </c>
      <c r="F14">
        <f>IF(A14="","",tests!B14)</f>
        <v/>
      </c>
      <c r="G14">
        <f>IF(A14="","",INDEX(meta!B7(F14),1))</f>
        <v/>
      </c>
      <c r="H14">
        <f>IF(A14="","",INDEX(meta!B7(F14),2))</f>
        <v/>
      </c>
      <c r="I14">
        <f>IF(A14="","",IFERROR(INDEX(meta!B7(F14),3),""))</f>
        <v/>
      </c>
      <c r="J14">
        <f>IF(A14="","",meta!B9(F14))</f>
        <v/>
      </c>
      <c r="K14">
        <f>IF(A14="","",meta!B14(J14))</f>
        <v/>
      </c>
      <c r="L14">
        <f>IF(A14="","",IF(meta!B17(J14),"ERR","OK"))</f>
        <v/>
      </c>
      <c r="M14">
        <f>IF(A14="","",64-E14)</f>
        <v/>
      </c>
    </row>
    <row r="15">
      <c r="A15">
        <f>IF(tests!A15="","","F"&amp;TEXT(ROW()-1,"000"))</f>
        <v/>
      </c>
      <c r="B15">
        <f>IF(A15="","",tests!A15)</f>
        <v/>
      </c>
      <c r="C15" t="inlineStr">
        <is>
          <t>ROOT</t>
        </is>
      </c>
      <c r="D15" t="inlineStr">
        <is>
          <t>eval</t>
        </is>
      </c>
      <c r="E15">
        <f>IF(A15="","",LEN(F15)-LEN(SUBSTITUTE(F15,"(","")))</f>
        <v/>
      </c>
      <c r="F15">
        <f>IF(A15="","",tests!B15)</f>
        <v/>
      </c>
      <c r="G15">
        <f>IF(A15="","",INDEX(meta!B7(F15),1))</f>
        <v/>
      </c>
      <c r="H15">
        <f>IF(A15="","",INDEX(meta!B7(F15),2))</f>
        <v/>
      </c>
      <c r="I15">
        <f>IF(A15="","",IFERROR(INDEX(meta!B7(F15),3),""))</f>
        <v/>
      </c>
      <c r="J15">
        <f>IF(A15="","",meta!B9(F15))</f>
        <v/>
      </c>
      <c r="K15">
        <f>IF(A15="","",meta!B14(J15))</f>
        <v/>
      </c>
      <c r="L15">
        <f>IF(A15="","",IF(meta!B17(J15),"ERR","OK"))</f>
        <v/>
      </c>
      <c r="M15">
        <f>IF(A15="","",64-E15)</f>
        <v/>
      </c>
    </row>
    <row r="16">
      <c r="A16">
        <f>IF(tests!A16="","","F"&amp;TEXT(ROW()-1,"000"))</f>
        <v/>
      </c>
      <c r="B16">
        <f>IF(A16="","",tests!A16)</f>
        <v/>
      </c>
      <c r="C16" t="inlineStr">
        <is>
          <t>ROOT</t>
        </is>
      </c>
      <c r="D16" t="inlineStr">
        <is>
          <t>eval</t>
        </is>
      </c>
      <c r="E16">
        <f>IF(A16="","",LEN(F16)-LEN(SUBSTITUTE(F16,"(","")))</f>
        <v/>
      </c>
      <c r="F16">
        <f>IF(A16="","",tests!B16)</f>
        <v/>
      </c>
      <c r="G16">
        <f>IF(A16="","",INDEX(meta!B7(F16),1))</f>
        <v/>
      </c>
      <c r="H16">
        <f>IF(A16="","",INDEX(meta!B7(F16),2))</f>
        <v/>
      </c>
      <c r="I16">
        <f>IF(A16="","",IFERROR(INDEX(meta!B7(F16),3),""))</f>
        <v/>
      </c>
      <c r="J16">
        <f>IF(A16="","",meta!B9(F16))</f>
        <v/>
      </c>
      <c r="K16">
        <f>IF(A16="","",meta!B14(J16))</f>
        <v/>
      </c>
      <c r="L16">
        <f>IF(A16="","",IF(meta!B17(J16),"ERR","OK"))</f>
        <v/>
      </c>
      <c r="M16">
        <f>IF(A16="","",64-E16)</f>
        <v/>
      </c>
    </row>
    <row r="17">
      <c r="A17">
        <f>IF(tests!A17="","","F"&amp;TEXT(ROW()-1,"000"))</f>
        <v/>
      </c>
      <c r="B17">
        <f>IF(A17="","",tests!A17)</f>
        <v/>
      </c>
      <c r="C17" t="inlineStr">
        <is>
          <t>ROOT</t>
        </is>
      </c>
      <c r="D17" t="inlineStr">
        <is>
          <t>eval</t>
        </is>
      </c>
      <c r="E17">
        <f>IF(A17="","",LEN(F17)-LEN(SUBSTITUTE(F17,"(","")))</f>
        <v/>
      </c>
      <c r="F17">
        <f>IF(A17="","",tests!B17)</f>
        <v/>
      </c>
      <c r="G17">
        <f>IF(A17="","",INDEX(meta!B7(F17),1))</f>
        <v/>
      </c>
      <c r="H17">
        <f>IF(A17="","",INDEX(meta!B7(F17),2))</f>
        <v/>
      </c>
      <c r="I17">
        <f>IF(A17="","",IFERROR(INDEX(meta!B7(F17),3),""))</f>
        <v/>
      </c>
      <c r="J17">
        <f>IF(A17="","",meta!B9(F17))</f>
        <v/>
      </c>
      <c r="K17">
        <f>IF(A17="","",meta!B14(J17))</f>
        <v/>
      </c>
      <c r="L17">
        <f>IF(A17="","",IF(meta!B17(J17),"ERR","OK"))</f>
        <v/>
      </c>
      <c r="M17">
        <f>IF(A17="","",64-E17)</f>
        <v/>
      </c>
    </row>
    <row r="18">
      <c r="A18">
        <f>IF(tests!A18="","","F"&amp;TEXT(ROW()-1,"000"))</f>
        <v/>
      </c>
      <c r="B18">
        <f>IF(A18="","",tests!A18)</f>
        <v/>
      </c>
      <c r="C18" t="inlineStr">
        <is>
          <t>ROOT</t>
        </is>
      </c>
      <c r="D18" t="inlineStr">
        <is>
          <t>eval</t>
        </is>
      </c>
      <c r="E18">
        <f>IF(A18="","",LEN(F18)-LEN(SUBSTITUTE(F18,"(","")))</f>
        <v/>
      </c>
      <c r="F18">
        <f>IF(A18="","",tests!B18)</f>
        <v/>
      </c>
      <c r="G18">
        <f>IF(A18="","",INDEX(meta!B7(F18),1))</f>
        <v/>
      </c>
      <c r="H18">
        <f>IF(A18="","",INDEX(meta!B7(F18),2))</f>
        <v/>
      </c>
      <c r="I18">
        <f>IF(A18="","",IFERROR(INDEX(meta!B7(F18),3),""))</f>
        <v/>
      </c>
      <c r="J18">
        <f>IF(A18="","",meta!B9(F18))</f>
        <v/>
      </c>
      <c r="K18">
        <f>IF(A18="","",meta!B14(J18))</f>
        <v/>
      </c>
      <c r="L18">
        <f>IF(A18="","",IF(meta!B17(J18),"ERR","OK"))</f>
        <v/>
      </c>
      <c r="M18">
        <f>IF(A18="","",64-E18)</f>
        <v/>
      </c>
    </row>
    <row r="19">
      <c r="A19">
        <f>IF(tests!A19="","","F"&amp;TEXT(ROW()-1,"000"))</f>
        <v/>
      </c>
      <c r="B19">
        <f>IF(A19="","",tests!A19)</f>
        <v/>
      </c>
      <c r="C19" t="inlineStr">
        <is>
          <t>ROOT</t>
        </is>
      </c>
      <c r="D19" t="inlineStr">
        <is>
          <t>eval</t>
        </is>
      </c>
      <c r="E19">
        <f>IF(A19="","",LEN(F19)-LEN(SUBSTITUTE(F19,"(","")))</f>
        <v/>
      </c>
      <c r="F19">
        <f>IF(A19="","",tests!B19)</f>
        <v/>
      </c>
      <c r="G19">
        <f>IF(A19="","",INDEX(meta!B7(F19),1))</f>
        <v/>
      </c>
      <c r="H19">
        <f>IF(A19="","",INDEX(meta!B7(F19),2))</f>
        <v/>
      </c>
      <c r="I19">
        <f>IF(A19="","",IFERROR(INDEX(meta!B7(F19),3),""))</f>
        <v/>
      </c>
      <c r="J19">
        <f>IF(A19="","",meta!B9(F19))</f>
        <v/>
      </c>
      <c r="K19">
        <f>IF(A19="","",meta!B14(J19))</f>
        <v/>
      </c>
      <c r="L19">
        <f>IF(A19="","",IF(meta!B17(J19),"ERR","OK"))</f>
        <v/>
      </c>
      <c r="M19">
        <f>IF(A19="","",64-E19)</f>
        <v/>
      </c>
    </row>
    <row r="20">
      <c r="A20">
        <f>IF(tests!A20="","","F"&amp;TEXT(ROW()-1,"000"))</f>
        <v/>
      </c>
      <c r="B20">
        <f>IF(A20="","",tests!A20)</f>
        <v/>
      </c>
      <c r="C20" t="inlineStr">
        <is>
          <t>ROOT</t>
        </is>
      </c>
      <c r="D20" t="inlineStr">
        <is>
          <t>eval</t>
        </is>
      </c>
      <c r="E20">
        <f>IF(A20="","",LEN(F20)-LEN(SUBSTITUTE(F20,"(","")))</f>
        <v/>
      </c>
      <c r="F20">
        <f>IF(A20="","",tests!B20)</f>
        <v/>
      </c>
      <c r="G20">
        <f>IF(A20="","",INDEX(meta!B7(F20),1))</f>
        <v/>
      </c>
      <c r="H20">
        <f>IF(A20="","",INDEX(meta!B7(F20),2))</f>
        <v/>
      </c>
      <c r="I20">
        <f>IF(A20="","",IFERROR(INDEX(meta!B7(F20),3),""))</f>
        <v/>
      </c>
      <c r="J20">
        <f>IF(A20="","",meta!B9(F20))</f>
        <v/>
      </c>
      <c r="K20">
        <f>IF(A20="","",meta!B14(J20))</f>
        <v/>
      </c>
      <c r="L20">
        <f>IF(A20="","",IF(meta!B17(J20),"ERR","OK"))</f>
        <v/>
      </c>
      <c r="M20">
        <f>IF(A20="","",64-E20)</f>
        <v/>
      </c>
    </row>
    <row r="21">
      <c r="A21">
        <f>IF(tests!A21="","","F"&amp;TEXT(ROW()-1,"000"))</f>
        <v/>
      </c>
      <c r="B21">
        <f>IF(A21="","",tests!A21)</f>
        <v/>
      </c>
      <c r="C21" t="inlineStr">
        <is>
          <t>ROOT</t>
        </is>
      </c>
      <c r="D21" t="inlineStr">
        <is>
          <t>eval</t>
        </is>
      </c>
      <c r="E21">
        <f>IF(A21="","",LEN(F21)-LEN(SUBSTITUTE(F21,"(","")))</f>
        <v/>
      </c>
      <c r="F21">
        <f>IF(A21="","",tests!B21)</f>
        <v/>
      </c>
      <c r="G21">
        <f>IF(A21="","",INDEX(meta!B7(F21),1))</f>
        <v/>
      </c>
      <c r="H21">
        <f>IF(A21="","",INDEX(meta!B7(F21),2))</f>
        <v/>
      </c>
      <c r="I21">
        <f>IF(A21="","",IFERROR(INDEX(meta!B7(F21),3),""))</f>
        <v/>
      </c>
      <c r="J21">
        <f>IF(A21="","",meta!B9(F21))</f>
        <v/>
      </c>
      <c r="K21">
        <f>IF(A21="","",meta!B14(J21))</f>
        <v/>
      </c>
      <c r="L21">
        <f>IF(A21="","",IF(meta!B17(J21),"ERR","OK"))</f>
        <v/>
      </c>
      <c r="M21">
        <f>IF(A21="","",64-E21)</f>
        <v/>
      </c>
    </row>
    <row r="22">
      <c r="A22">
        <f>IF(tests!A22="","","F"&amp;TEXT(ROW()-1,"000"))</f>
        <v/>
      </c>
      <c r="B22">
        <f>IF(A22="","",tests!A22)</f>
        <v/>
      </c>
      <c r="C22" t="inlineStr">
        <is>
          <t>ROOT</t>
        </is>
      </c>
      <c r="D22" t="inlineStr">
        <is>
          <t>eval</t>
        </is>
      </c>
      <c r="E22">
        <f>IF(A22="","",LEN(F22)-LEN(SUBSTITUTE(F22,"(","")))</f>
        <v/>
      </c>
      <c r="F22">
        <f>IF(A22="","",tests!B22)</f>
        <v/>
      </c>
      <c r="G22">
        <f>IF(A22="","",INDEX(meta!B7(F22),1))</f>
        <v/>
      </c>
      <c r="H22">
        <f>IF(A22="","",INDEX(meta!B7(F22),2))</f>
        <v/>
      </c>
      <c r="I22">
        <f>IF(A22="","",IFERROR(INDEX(meta!B7(F22),3),""))</f>
        <v/>
      </c>
      <c r="J22">
        <f>IF(A22="","",meta!B9(F22))</f>
        <v/>
      </c>
      <c r="K22">
        <f>IF(A22="","",meta!B14(J22))</f>
        <v/>
      </c>
      <c r="L22">
        <f>IF(A22="","",IF(meta!B17(J22),"ERR","OK"))</f>
        <v/>
      </c>
      <c r="M22">
        <f>IF(A22="","",64-E22)</f>
        <v/>
      </c>
    </row>
    <row r="23">
      <c r="A23">
        <f>IF(tests!A23="","","F"&amp;TEXT(ROW()-1,"000"))</f>
        <v/>
      </c>
      <c r="B23">
        <f>IF(A23="","",tests!A23)</f>
        <v/>
      </c>
      <c r="C23" t="inlineStr">
        <is>
          <t>ROOT</t>
        </is>
      </c>
      <c r="D23" t="inlineStr">
        <is>
          <t>eval</t>
        </is>
      </c>
      <c r="E23">
        <f>IF(A23="","",LEN(F23)-LEN(SUBSTITUTE(F23,"(","")))</f>
        <v/>
      </c>
      <c r="F23">
        <f>IF(A23="","",tests!B23)</f>
        <v/>
      </c>
      <c r="G23">
        <f>IF(A23="","",INDEX(meta!B7(F23),1))</f>
        <v/>
      </c>
      <c r="H23">
        <f>IF(A23="","",INDEX(meta!B7(F23),2))</f>
        <v/>
      </c>
      <c r="I23">
        <f>IF(A23="","",IFERROR(INDEX(meta!B7(F23),3),""))</f>
        <v/>
      </c>
      <c r="J23">
        <f>IF(A23="","",meta!B9(F23))</f>
        <v/>
      </c>
      <c r="K23">
        <f>IF(A23="","",meta!B14(J23))</f>
        <v/>
      </c>
      <c r="L23">
        <f>IF(A23="","",IF(meta!B17(J23),"ERR","OK"))</f>
        <v/>
      </c>
      <c r="M23">
        <f>IF(A23="","",64-E23)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2026-05-19T14:38:32Z</dcterms:created>
  <dcterms:modified xsi:type="dcterms:W3CDTF">2026-05-19T17:44:34Z</dcterms:modified>
</cp:coreProperties>
</file>